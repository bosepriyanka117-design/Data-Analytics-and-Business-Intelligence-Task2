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 R I Y A N K A\Documents\report sip\"/>
    </mc:Choice>
  </mc:AlternateContent>
  <xr:revisionPtr revIDLastSave="0" documentId="8_{BD2C343C-2F54-46E4-8C40-B917933CBAC8}" xr6:coauthVersionLast="47" xr6:coauthVersionMax="47" xr10:uidLastSave="{00000000-0000-0000-0000-000000000000}"/>
  <bookViews>
    <workbookView xWindow="-110" yWindow="-110" windowWidth="19420" windowHeight="10300" xr2:uid="{800F3CD3-4091-4170-8D83-384ADCCDB8E4}"/>
  </bookViews>
  <sheets>
    <sheet name="Data" sheetId="1" r:id="rId1"/>
    <sheet name="Sales by Region &amp; Segment" sheetId="5" r:id="rId2"/>
    <sheet name="Profit by Category and Region" sheetId="6" r:id="rId3"/>
    <sheet name="Monthly Sales Trend" sheetId="8" r:id="rId4"/>
    <sheet name="Top 10 Customers" sheetId="21" r:id="rId5"/>
  </sheets>
  <definedNames>
    <definedName name="_xlcn.WorksheetConnection_task2.xlsxTable11" hidden="1">Table1[]</definedName>
    <definedName name="_xlcn.WorksheetConnection_task2.xlsxTable21" hidden="1">Table2[]</definedName>
  </definedNames>
  <calcPr calcId="191029"/>
  <pivotCaches>
    <pivotCache cacheId="8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task2.xlsx!Table2"/>
          <x15:modelTable id="Table1" name="Table1" connection="WorksheetConnection_task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O2" i="1"/>
  <c r="Q2" i="1" a="1"/>
  <c r="Q2" i="1" s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142CC-5F4C-4A3E-AD74-66F32D11A77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4D396E75-34A0-4921-B553-8E063FC6171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3" xr16:uid="{82FCDC3C-1C38-47CD-BEA5-DB747ADFA2E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5B05DC2-D969-4E12-8934-02D441EAC18F}" name="WorksheetConnection_task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sk2.xlsxTable11"/>
        </x15:connection>
      </ext>
    </extLst>
  </connection>
  <connection id="5" xr16:uid="{61BAF1C0-DFCA-4554-9276-487462DB898B}" name="WorksheetConnection_task2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ask2.xlsxTable2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<sst xmlns="http://schemas.openxmlformats.org/spreadsheetml/2006/main" count="372" uniqueCount="148">
  <si>
    <t>Customer_ID</t>
  </si>
  <si>
    <t>Customer_Name</t>
  </si>
  <si>
    <t>Region</t>
  </si>
  <si>
    <t>Segment</t>
  </si>
  <si>
    <t>CUST-01</t>
  </si>
  <si>
    <t>Aarav Mehta</t>
  </si>
  <si>
    <t>North</t>
  </si>
  <si>
    <t>Corporate</t>
  </si>
  <si>
    <t>CUST-02</t>
  </si>
  <si>
    <t>Ananya Sharma</t>
  </si>
  <si>
    <t>South</t>
  </si>
  <si>
    <t>Consumer</t>
  </si>
  <si>
    <t>CUST-03</t>
  </si>
  <si>
    <t>Rohan Das</t>
  </si>
  <si>
    <t>East</t>
  </si>
  <si>
    <t>Home Office</t>
  </si>
  <si>
    <t>CUST-04</t>
  </si>
  <si>
    <t>Diya Banerjee</t>
  </si>
  <si>
    <t>CUST-05</t>
  </si>
  <si>
    <t>Kabir Malhotra</t>
  </si>
  <si>
    <t>West</t>
  </si>
  <si>
    <t>CUST-06</t>
  </si>
  <si>
    <t>Ishaan Verma</t>
  </si>
  <si>
    <t>CUST-07</t>
  </si>
  <si>
    <t>Meera Nair</t>
  </si>
  <si>
    <t>CUST-08</t>
  </si>
  <si>
    <t>Aditya Joshi</t>
  </si>
  <si>
    <t>CUST-09</t>
  </si>
  <si>
    <t>Sai Reddy</t>
  </si>
  <si>
    <t>CUST-10</t>
  </si>
  <si>
    <t>Riya Sen</t>
  </si>
  <si>
    <t>CUST-11</t>
  </si>
  <si>
    <t>Arjun Gupta</t>
  </si>
  <si>
    <t>CUST-12</t>
  </si>
  <si>
    <t>Kavya Iyer</t>
  </si>
  <si>
    <t>CUST-13</t>
  </si>
  <si>
    <t>Reyansh Kapoor</t>
  </si>
  <si>
    <t>CUST-14</t>
  </si>
  <si>
    <t>Sneha Kulkarni</t>
  </si>
  <si>
    <t>CUST-15</t>
  </si>
  <si>
    <t>Vivaan Shah</t>
  </si>
  <si>
    <t>CUST-16</t>
  </si>
  <si>
    <t>Prisha Rao</t>
  </si>
  <si>
    <t>CUST-17</t>
  </si>
  <si>
    <t>Ayan Mukherjee</t>
  </si>
  <si>
    <t>CUST-18</t>
  </si>
  <si>
    <t>Tanvi Desai</t>
  </si>
  <si>
    <t>CUST-19</t>
  </si>
  <si>
    <t>Devendra Singh</t>
  </si>
  <si>
    <t>CUST-20</t>
  </si>
  <si>
    <t>Isha Patel</t>
  </si>
  <si>
    <t>CUST-21</t>
  </si>
  <si>
    <t>Shreya Ghoshal</t>
  </si>
  <si>
    <t>CUST-22</t>
  </si>
  <si>
    <t>Vikram Chatterjee</t>
  </si>
  <si>
    <t>CUST-23</t>
  </si>
  <si>
    <t>Rahul Dravid</t>
  </si>
  <si>
    <t>CUST-24</t>
  </si>
  <si>
    <t>Pooja Hegde</t>
  </si>
  <si>
    <t>CUST-25</t>
  </si>
  <si>
    <t>Amit Shah</t>
  </si>
  <si>
    <t>Order_ID</t>
  </si>
  <si>
    <t>Order_Date</t>
  </si>
  <si>
    <t>Product_Category</t>
  </si>
  <si>
    <t>Sales</t>
  </si>
  <si>
    <t>Quantity</t>
  </si>
  <si>
    <t>Profit</t>
  </si>
  <si>
    <t>Discount</t>
  </si>
  <si>
    <t>ORD-101</t>
  </si>
  <si>
    <t>Technology</t>
  </si>
  <si>
    <t>ORD-102</t>
  </si>
  <si>
    <t>Furniture</t>
  </si>
  <si>
    <t>ORD-103</t>
  </si>
  <si>
    <t>Office Supplies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</si>
  <si>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</si>
  <si>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</si>
  <si>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</si>
  <si>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</si>
  <si>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</si>
  <si>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</si>
  <si>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</si>
  <si>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</si>
  <si>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</si>
  <si>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</si>
  <si>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</si>
  <si>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</si>
  <si>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</si>
  <si>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</si>
  <si>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</si>
  <si>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</si>
  <si>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</si>
  <si>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</si>
  <si>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</si>
  <si>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</si>
  <si>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</si>
  <si>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</si>
  <si>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</si>
  <si>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</si>
  <si>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</si>
  <si>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</si>
  <si>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</si>
  <si>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</si>
  <si>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</si>
  <si>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</si>
  <si>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</si>
  <si>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</si>
  <si>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</si>
  <si>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</si>
  <si>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</si>
  <si>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</si>
  <si>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</si>
  <si>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</si>
  <si>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</si>
  <si>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</si>
  <si>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</si>
  <si>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</si>
  <si>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</si>
  <si>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</si>
  <si>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</si>
  <si>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</si>
  <si>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</si>
  <si>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</si>
  <si>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</si>
  <si>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</si>
  <si>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</si>
  <si>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</si>
  <si>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</si>
  <si>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</si>
  <si>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</si>
  <si>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</si>
  <si>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</si>
  <si>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</si>
  <si>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</si>
  <si>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</si>
  <si>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</si>
  <si>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</si>
  <si>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Row Labels</t>
  </si>
  <si>
    <t>Grand Total</t>
  </si>
  <si>
    <t>Column Labels</t>
  </si>
  <si>
    <t>Sum of Sales</t>
  </si>
  <si>
    <t>Sum of Profit</t>
  </si>
  <si>
    <t>Jan</t>
  </si>
  <si>
    <t>Feb</t>
  </si>
  <si>
    <t>Mar</t>
  </si>
  <si>
    <t>Apr</t>
  </si>
  <si>
    <t>May</t>
  </si>
  <si>
    <t>Profit Margin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</si>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</sst>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medium">
        <color theme="4" tint="-0.249977111117893"/>
      </left>
      <right style="thin">
        <color indexed="64"/>
      </right>
      <top style="medium">
        <color theme="4" tint="-0.249977111117893"/>
      </top>
      <bottom style="thin">
        <color indexed="64"/>
      </bottom>
      <diagonal/>
    </border>
    <border>
      <left style="thin">
        <color indexed="64"/>
      </left>
      <right style="medium">
        <color theme="4" tint="-0.249977111117893"/>
      </right>
      <top style="medium">
        <color theme="4" tint="-0.249977111117893"/>
      </top>
      <bottom style="thin">
        <color indexed="64"/>
      </bottom>
      <diagonal/>
    </border>
    <border>
      <left style="medium">
        <color theme="4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 tint="-0.249977111117893"/>
      </right>
      <top style="thin">
        <color indexed="64"/>
      </top>
      <bottom style="thin">
        <color indexed="64"/>
      </bottom>
      <diagonal/>
    </border>
    <border>
      <left style="medium">
        <color theme="4" tint="-0.249977111117893"/>
      </left>
      <right style="thin">
        <color indexed="64"/>
      </right>
      <top style="thin">
        <color indexed="64"/>
      </top>
      <bottom style="medium">
        <color theme="4" tint="-0.249977111117893"/>
      </bottom>
      <diagonal/>
    </border>
    <border>
      <left style="thin">
        <color indexed="64"/>
      </left>
      <right style="medium">
        <color theme="4" tint="-0.249977111117893"/>
      </right>
      <top style="thin">
        <color indexed="64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14" fontId="3" fillId="0" borderId="8" xfId="0" applyNumberFormat="1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0" xfId="0" applyFill="1" applyBorder="1"/>
    <xf numFmtId="0" fontId="0" fillId="2" borderId="11" xfId="0" applyFill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R I Y A N K A" refreshedDate="46198.51343564815" createdVersion="8" refreshedVersion="8" minRefreshableVersion="3" recordCount="65" xr:uid="{E8A12384-0FD3-4C4C-86A0-CE8E4EC826EB}">
  <cacheSource type="worksheet">
    <worksheetSource name="Table2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6-01-05T00:00:00" maxDate="2026-06-01T00:00:00" count="65">
        <d v="2026-01-05T00:00:00"/>
        <d v="2026-01-07T00:00:00"/>
        <d v="2026-01-12T00:00:00"/>
        <d v="2026-01-15T00:00:00"/>
        <d v="2026-01-18T00:00:00"/>
        <d v="2026-01-22T00:00:00"/>
        <d v="2026-01-25T00:00:00"/>
        <d v="2026-01-29T00:00:00"/>
        <d v="2026-02-02T00:00:00"/>
        <d v="2026-02-05T00:00:00"/>
        <d v="2026-02-10T00:00:00"/>
        <d v="2026-02-14T00:00:00"/>
        <d v="2026-02-18T00:00:00"/>
        <d v="2026-02-21T00:00:00"/>
        <d v="2026-02-25T00:00:00"/>
        <d v="2026-02-28T00:00:00"/>
        <d v="2026-03-03T00:00:00"/>
        <d v="2026-03-06T00:00:00"/>
        <d v="2026-03-10T00:00:00"/>
        <d v="2026-03-12T00:00:00"/>
        <d v="2026-03-15T00:00:00"/>
        <d v="2026-03-19T00:00:00"/>
        <d v="2026-03-22T00:00:00"/>
        <d v="2026-03-26T00:00:00"/>
        <d v="2026-03-29T00:00:00"/>
        <d v="2026-04-02T00:00:00"/>
        <d v="2026-04-05T00:00:00"/>
        <d v="2026-04-09T00:00:00"/>
        <d v="2026-04-12T00:00:00"/>
        <d v="2026-04-15T00:00:00"/>
        <d v="2026-04-18T00:00:00"/>
        <d v="2026-04-20T00:00:00"/>
        <d v="2026-04-23T00:00:00"/>
        <d v="2026-04-26T00:00:00"/>
        <d v="2026-04-29T00:00:00"/>
        <d v="2026-05-02T00:00:00"/>
        <d v="2026-05-04T00:00:00"/>
        <d v="2026-05-06T00:00:00"/>
        <d v="2026-05-09T00:00:00"/>
        <d v="2026-05-12T00:00:00"/>
        <d v="2026-05-14T00:00:00"/>
        <d v="2026-05-17T00:00:00"/>
        <d v="2026-05-19T00:00:00"/>
        <d v="2026-05-22T00:00:00"/>
        <d v="2026-05-25T00:00:00"/>
        <d v="2026-05-27T00:00:00"/>
        <d v="2026-05-29T00:00:00"/>
        <d v="2026-05-31T00:00:00"/>
        <d v="2026-01-10T00:00:00"/>
        <d v="2026-01-20T00:00:00"/>
        <d v="2026-02-08T00:00:00"/>
        <d v="2026-02-22T00:00:00"/>
        <d v="2026-03-08T00:00:00"/>
        <d v="2026-03-24T00:00:00"/>
        <d v="2026-04-06T00:00:00"/>
        <d v="2026-04-17T00:00:00"/>
        <d v="2026-05-05T00:00:00"/>
        <d v="2026-05-15T00:00:00"/>
        <d v="2026-01-14T00:00:00"/>
        <d v="2026-02-19T00:00:00"/>
        <d v="2026-03-11T00:00:00"/>
        <d v="2026-04-22T00:00:00"/>
        <d v="2026-05-11T00:00:00"/>
        <d v="2026-05-20T00:00:00"/>
        <d v="2026-05-28T00:00:00"/>
      </sharedItems>
      <fieldGroup par="12"/>
    </cacheField>
    <cacheField name="Customer_ID" numFmtId="0">
      <sharedItems/>
    </cacheField>
    <cacheField name="Product_Category" numFmtId="0">
      <sharedItems count="3">
        <s v="Technology"/>
        <s v="Furniture"/>
        <s v="Office Supplies"/>
      </sharedItems>
    </cacheField>
    <cacheField name="Sales" numFmtId="0">
      <sharedItems containsSemiMixedTypes="0" containsString="0" containsNumber="1" containsInteger="1" minValue="25" maxValue="4200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-147" maxValue="1260"/>
    </cacheField>
    <cacheField name="Discount" numFmtId="0">
      <sharedItems containsSemiMixedTypes="0" containsString="0" containsNumber="1" minValue="0" maxValue="0.3"/>
    </cacheField>
    <cacheField name="Region" numFmtId="0">
      <sharedItems count="4">
        <s v="North"/>
        <s v="South"/>
        <s v="East"/>
        <s v="West"/>
      </sharedItems>
    </cacheField>
    <cacheField name="Segment" numFmtId="0">
      <sharedItems count="3">
        <s v="Corporate"/>
        <s v="Consumer"/>
        <s v="Home Office"/>
      </sharedItems>
    </cacheField>
    <cacheField name="Customer_Name" numFmtId="0">
      <sharedItems count="25">
        <s v="Aarav Mehta"/>
        <s v="Ananya Sharma"/>
        <s v="Rohan Das"/>
        <s v="Diya Banerjee"/>
        <s v="Kabir Malhotra"/>
        <s v="Ishaan Verma"/>
        <s v="Meera Nair"/>
        <s v="Aditya Joshi"/>
        <s v="Sai Reddy"/>
        <s v="Riya Sen"/>
        <s v="Arjun Gupta"/>
        <s v="Kavya Iyer"/>
        <s v="Reyansh Kapoor"/>
        <s v="Sneha Kulkarni"/>
        <s v="Vivaan Shah"/>
        <s v="Prisha Rao"/>
        <s v="Ayan Mukherjee"/>
        <s v="Tanvi Desai"/>
        <s v="Devendra Singh"/>
        <s v="Isha Patel"/>
        <s v="Shreya Ghoshal"/>
        <s v="Vikram Chatterjee"/>
        <s v="Rahul Dravid"/>
        <s v="Pooja Hegde"/>
        <s v="Amit Shah"/>
      </sharedItems>
    </cacheField>
    <cacheField name="Days (Order_Date)" numFmtId="0" databaseField="0">
      <fieldGroup base="1">
        <rangePr groupBy="days" startDate="2026-01-05T00:00:00" endDate="2026-06-01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6-2026"/>
        </groupItems>
      </fieldGroup>
    </cacheField>
    <cacheField name="Months (Order_Date)" numFmtId="0" databaseField="0">
      <fieldGroup base="1">
        <rangePr groupBy="months" startDate="2026-01-05T00:00:00" endDate="2026-06-01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ORD-101"/>
    <x v="0"/>
    <s v="CUST-01"/>
    <x v="0"/>
    <n v="1200"/>
    <n v="3"/>
    <n v="360"/>
    <n v="0"/>
    <x v="0"/>
    <x v="0"/>
    <x v="0"/>
  </r>
  <r>
    <s v="ORD-102"/>
    <x v="1"/>
    <s v="CUST-02"/>
    <x v="1"/>
    <n v="450"/>
    <n v="2"/>
    <n v="-45"/>
    <n v="0.2"/>
    <x v="1"/>
    <x v="1"/>
    <x v="1"/>
  </r>
  <r>
    <s v="ORD-103"/>
    <x v="2"/>
    <s v="CUST-03"/>
    <x v="2"/>
    <n v="85"/>
    <n v="5"/>
    <n v="25.5"/>
    <n v="0"/>
    <x v="2"/>
    <x v="2"/>
    <x v="2"/>
  </r>
  <r>
    <s v="ORD-104"/>
    <x v="3"/>
    <s v="CUST-04"/>
    <x v="0"/>
    <n v="2100"/>
    <n v="4"/>
    <n v="630"/>
    <n v="0"/>
    <x v="2"/>
    <x v="0"/>
    <x v="3"/>
  </r>
  <r>
    <s v="ORD-105"/>
    <x v="4"/>
    <s v="CUST-05"/>
    <x v="1"/>
    <n v="600"/>
    <n v="3"/>
    <n v="60"/>
    <n v="0.1"/>
    <x v="3"/>
    <x v="1"/>
    <x v="4"/>
  </r>
  <r>
    <s v="ORD-106"/>
    <x v="5"/>
    <s v="CUST-01"/>
    <x v="2"/>
    <n v="45"/>
    <n v="2"/>
    <n v="18"/>
    <n v="0"/>
    <x v="0"/>
    <x v="0"/>
    <x v="0"/>
  </r>
  <r>
    <s v="ORD-107"/>
    <x v="6"/>
    <s v="CUST-06"/>
    <x v="0"/>
    <n v="350"/>
    <n v="1"/>
    <n v="70"/>
    <n v="0.15"/>
    <x v="0"/>
    <x v="1"/>
    <x v="5"/>
  </r>
  <r>
    <s v="ORD-108"/>
    <x v="7"/>
    <s v="CUST-07"/>
    <x v="1"/>
    <n v="890"/>
    <n v="4"/>
    <n v="-89"/>
    <n v="0.25"/>
    <x v="1"/>
    <x v="0"/>
    <x v="6"/>
  </r>
  <r>
    <s v="ORD-109"/>
    <x v="8"/>
    <s v="CUST-08"/>
    <x v="2"/>
    <n v="120"/>
    <n v="6"/>
    <n v="48"/>
    <n v="0"/>
    <x v="3"/>
    <x v="2"/>
    <x v="7"/>
  </r>
  <r>
    <s v="ORD-110"/>
    <x v="9"/>
    <s v="CUST-09"/>
    <x v="0"/>
    <n v="1500"/>
    <n v="2"/>
    <n v="450"/>
    <n v="0"/>
    <x v="1"/>
    <x v="1"/>
    <x v="8"/>
  </r>
  <r>
    <s v="ORD-111"/>
    <x v="10"/>
    <s v="CUST-10"/>
    <x v="1"/>
    <n v="320"/>
    <n v="1"/>
    <n v="32"/>
    <n v="0"/>
    <x v="2"/>
    <x v="0"/>
    <x v="9"/>
  </r>
  <r>
    <s v="ORD-112"/>
    <x v="11"/>
    <s v="CUST-04"/>
    <x v="2"/>
    <n v="95"/>
    <n v="3"/>
    <n v="38"/>
    <n v="0"/>
    <x v="2"/>
    <x v="0"/>
    <x v="3"/>
  </r>
  <r>
    <s v="ORD-113"/>
    <x v="12"/>
    <s v="CUST-11"/>
    <x v="0"/>
    <n v="800"/>
    <n v="2"/>
    <n v="160"/>
    <n v="0.1"/>
    <x v="0"/>
    <x v="2"/>
    <x v="10"/>
  </r>
  <r>
    <s v="ORD-114"/>
    <x v="13"/>
    <s v="CUST-12"/>
    <x v="1"/>
    <n v="750"/>
    <n v="5"/>
    <n v="-75"/>
    <n v="0.2"/>
    <x v="1"/>
    <x v="1"/>
    <x v="11"/>
  </r>
  <r>
    <s v="ORD-115"/>
    <x v="14"/>
    <s v="CUST-13"/>
    <x v="2"/>
    <n v="55"/>
    <n v="4"/>
    <n v="22"/>
    <n v="0"/>
    <x v="3"/>
    <x v="0"/>
    <x v="12"/>
  </r>
  <r>
    <s v="ORD-116"/>
    <x v="15"/>
    <s v="CUST-02"/>
    <x v="0"/>
    <n v="1750"/>
    <n v="3"/>
    <n v="525"/>
    <n v="0"/>
    <x v="1"/>
    <x v="1"/>
    <x v="1"/>
  </r>
  <r>
    <s v="ORD-117"/>
    <x v="16"/>
    <s v="CUST-14"/>
    <x v="1"/>
    <n v="410"/>
    <n v="2"/>
    <n v="41"/>
    <n v="0"/>
    <x v="3"/>
    <x v="1"/>
    <x v="13"/>
  </r>
  <r>
    <s v="ORD-118"/>
    <x v="17"/>
    <s v="CUST-15"/>
    <x v="2"/>
    <n v="25"/>
    <n v="1"/>
    <n v="10"/>
    <n v="0"/>
    <x v="0"/>
    <x v="0"/>
    <x v="14"/>
  </r>
  <r>
    <s v="ORD-119"/>
    <x v="18"/>
    <s v="CUST-16"/>
    <x v="0"/>
    <n v="2400"/>
    <n v="5"/>
    <n v="720"/>
    <n v="0"/>
    <x v="1"/>
    <x v="2"/>
    <x v="15"/>
  </r>
  <r>
    <s v="ORD-120"/>
    <x v="19"/>
    <s v="CUST-17"/>
    <x v="1"/>
    <n v="980"/>
    <n v="4"/>
    <n v="-147"/>
    <n v="0.3"/>
    <x v="2"/>
    <x v="1"/>
    <x v="16"/>
  </r>
  <r>
    <s v="ORD-121"/>
    <x v="20"/>
    <s v="CUST-03"/>
    <x v="0"/>
    <n v="650"/>
    <n v="2"/>
    <n v="195"/>
    <n v="0"/>
    <x v="2"/>
    <x v="2"/>
    <x v="2"/>
  </r>
  <r>
    <s v="ORD-122"/>
    <x v="21"/>
    <s v="CUST-18"/>
    <x v="2"/>
    <n v="150"/>
    <n v="5"/>
    <n v="60"/>
    <n v="0"/>
    <x v="3"/>
    <x v="0"/>
    <x v="17"/>
  </r>
  <r>
    <s v="ORD-123"/>
    <x v="22"/>
    <s v="CUST-19"/>
    <x v="1"/>
    <n v="530"/>
    <n v="3"/>
    <n v="53"/>
    <n v="0"/>
    <x v="0"/>
    <x v="1"/>
    <x v="18"/>
  </r>
  <r>
    <s v="ORD-124"/>
    <x v="23"/>
    <s v="CUST-20"/>
    <x v="0"/>
    <n v="1350"/>
    <n v="3"/>
    <n v="405"/>
    <n v="0"/>
    <x v="3"/>
    <x v="2"/>
    <x v="19"/>
  </r>
  <r>
    <s v="ORD-125"/>
    <x v="24"/>
    <s v="CUST-07"/>
    <x v="2"/>
    <n v="65"/>
    <n v="2"/>
    <n v="26"/>
    <n v="0"/>
    <x v="1"/>
    <x v="0"/>
    <x v="6"/>
  </r>
  <r>
    <s v="ORD-126"/>
    <x v="25"/>
    <s v="CUST-21"/>
    <x v="1"/>
    <n v="620"/>
    <n v="3"/>
    <n v="-62"/>
    <n v="0.2"/>
    <x v="2"/>
    <x v="1"/>
    <x v="20"/>
  </r>
  <r>
    <s v="ORD-127"/>
    <x v="26"/>
    <s v="CUST-22"/>
    <x v="0"/>
    <n v="3100"/>
    <n v="6"/>
    <n v="930"/>
    <n v="0"/>
    <x v="2"/>
    <x v="0"/>
    <x v="21"/>
  </r>
  <r>
    <s v="ORD-128"/>
    <x v="27"/>
    <s v="CUST-23"/>
    <x v="2"/>
    <n v="180"/>
    <n v="8"/>
    <n v="72"/>
    <n v="0"/>
    <x v="1"/>
    <x v="0"/>
    <x v="22"/>
  </r>
  <r>
    <s v="ORD-129"/>
    <x v="28"/>
    <s v="CUST-24"/>
    <x v="1"/>
    <n v="850"/>
    <n v="4"/>
    <n v="85"/>
    <n v="0.1"/>
    <x v="3"/>
    <x v="1"/>
    <x v="23"/>
  </r>
  <r>
    <s v="ORD-130"/>
    <x v="29"/>
    <s v="CUST-25"/>
    <x v="0"/>
    <n v="950"/>
    <n v="2"/>
    <n v="285"/>
    <n v="0"/>
    <x v="0"/>
    <x v="2"/>
    <x v="24"/>
  </r>
  <r>
    <s v="ORD-131"/>
    <x v="30"/>
    <s v="CUST-09"/>
    <x v="2"/>
    <n v="40"/>
    <n v="2"/>
    <n v="16"/>
    <n v="0"/>
    <x v="1"/>
    <x v="1"/>
    <x v="8"/>
  </r>
  <r>
    <s v="ORD-132"/>
    <x v="31"/>
    <s v="CUST-13"/>
    <x v="1"/>
    <n v="1100"/>
    <n v="5"/>
    <n v="110"/>
    <n v="0"/>
    <x v="3"/>
    <x v="0"/>
    <x v="12"/>
  </r>
  <r>
    <s v="ORD-133"/>
    <x v="32"/>
    <s v="CUST-06"/>
    <x v="0"/>
    <n v="450"/>
    <n v="1"/>
    <n v="90"/>
    <n v="0.1"/>
    <x v="0"/>
    <x v="1"/>
    <x v="5"/>
  </r>
  <r>
    <s v="ORD-134"/>
    <x v="33"/>
    <s v="CUST-11"/>
    <x v="2"/>
    <n v="310"/>
    <n v="10"/>
    <n v="124"/>
    <n v="0"/>
    <x v="0"/>
    <x v="2"/>
    <x v="10"/>
  </r>
  <r>
    <s v="ORD-135"/>
    <x v="34"/>
    <s v="CUST-16"/>
    <x v="1"/>
    <n v="720"/>
    <n v="3"/>
    <n v="-72"/>
    <n v="0.2"/>
    <x v="1"/>
    <x v="2"/>
    <x v="15"/>
  </r>
  <r>
    <s v="ORD-136"/>
    <x v="35"/>
    <s v="CUST-04"/>
    <x v="0"/>
    <n v="4200"/>
    <n v="8"/>
    <n v="1260"/>
    <n v="0"/>
    <x v="2"/>
    <x v="0"/>
    <x v="3"/>
  </r>
  <r>
    <s v="ORD-137"/>
    <x v="36"/>
    <s v="CUST-08"/>
    <x v="1"/>
    <n v="670"/>
    <n v="3"/>
    <n v="67"/>
    <n v="0"/>
    <x v="3"/>
    <x v="2"/>
    <x v="7"/>
  </r>
  <r>
    <s v="ORD-138"/>
    <x v="37"/>
    <s v="CUST-22"/>
    <x v="2"/>
    <n v="190"/>
    <n v="4"/>
    <n v="76"/>
    <n v="0"/>
    <x v="2"/>
    <x v="0"/>
    <x v="21"/>
  </r>
  <r>
    <s v="ORD-139"/>
    <x v="38"/>
    <s v="CUST-12"/>
    <x v="0"/>
    <n v="1600"/>
    <n v="3"/>
    <n v="480"/>
    <n v="0"/>
    <x v="1"/>
    <x v="1"/>
    <x v="11"/>
  </r>
  <r>
    <s v="ORD-140"/>
    <x v="39"/>
    <s v="CUST-05"/>
    <x v="1"/>
    <n v="930"/>
    <n v="4"/>
    <n v="-139.5"/>
    <n v="0.25"/>
    <x v="3"/>
    <x v="1"/>
    <x v="4"/>
  </r>
  <r>
    <s v="ORD-141"/>
    <x v="40"/>
    <s v="CUST-18"/>
    <x v="0"/>
    <n v="2200"/>
    <n v="4"/>
    <n v="660"/>
    <n v="0"/>
    <x v="3"/>
    <x v="0"/>
    <x v="17"/>
  </r>
  <r>
    <s v="ORD-142"/>
    <x v="41"/>
    <s v="CUST-14"/>
    <x v="2"/>
    <n v="80"/>
    <n v="3"/>
    <n v="32"/>
    <n v="0"/>
    <x v="3"/>
    <x v="1"/>
    <x v="13"/>
  </r>
  <r>
    <s v="ORD-143"/>
    <x v="42"/>
    <s v="CUST-23"/>
    <x v="1"/>
    <n v="1250"/>
    <n v="6"/>
    <n v="125"/>
    <n v="0"/>
    <x v="1"/>
    <x v="0"/>
    <x v="22"/>
  </r>
  <r>
    <s v="ORD-144"/>
    <x v="43"/>
    <s v="CUST-20"/>
    <x v="2"/>
    <n v="115"/>
    <n v="4"/>
    <n v="46"/>
    <n v="0"/>
    <x v="3"/>
    <x v="2"/>
    <x v="19"/>
  </r>
  <r>
    <s v="ORD-145"/>
    <x v="44"/>
    <s v="CUST-10"/>
    <x v="0"/>
    <n v="1300"/>
    <n v="2"/>
    <n v="390"/>
    <n v="0"/>
    <x v="2"/>
    <x v="0"/>
    <x v="9"/>
  </r>
  <r>
    <s v="ORD-146"/>
    <x v="45"/>
    <s v="CUST-21"/>
    <x v="2"/>
    <n v="50"/>
    <n v="2"/>
    <n v="20"/>
    <n v="0"/>
    <x v="2"/>
    <x v="1"/>
    <x v="20"/>
  </r>
  <r>
    <s v="ORD-147"/>
    <x v="46"/>
    <s v="CUST-15"/>
    <x v="1"/>
    <n v="800"/>
    <n v="4"/>
    <n v="-40"/>
    <n v="0.15"/>
    <x v="0"/>
    <x v="0"/>
    <x v="14"/>
  </r>
  <r>
    <s v="ORD-148"/>
    <x v="47"/>
    <s v="CUST-02"/>
    <x v="2"/>
    <n v="75"/>
    <n v="3"/>
    <n v="30"/>
    <n v="0"/>
    <x v="1"/>
    <x v="1"/>
    <x v="1"/>
  </r>
  <r>
    <s v="ORD-149"/>
    <x v="48"/>
    <s v="CUST-12"/>
    <x v="2"/>
    <n v="35"/>
    <n v="1"/>
    <n v="14"/>
    <n v="0"/>
    <x v="1"/>
    <x v="1"/>
    <x v="11"/>
  </r>
  <r>
    <s v="ORD-150"/>
    <x v="49"/>
    <s v="CUST-24"/>
    <x v="0"/>
    <n v="1800"/>
    <n v="4"/>
    <n v="540"/>
    <n v="0"/>
    <x v="3"/>
    <x v="1"/>
    <x v="23"/>
  </r>
  <r>
    <s v="ORD-151"/>
    <x v="50"/>
    <s v="CUST-17"/>
    <x v="2"/>
    <n v="60"/>
    <n v="2"/>
    <n v="24"/>
    <n v="0"/>
    <x v="2"/>
    <x v="1"/>
    <x v="16"/>
  </r>
  <r>
    <s v="ORD-152"/>
    <x v="51"/>
    <s v="CUST-03"/>
    <x v="1"/>
    <n v="510"/>
    <n v="2"/>
    <n v="51"/>
    <n v="0"/>
    <x v="2"/>
    <x v="2"/>
    <x v="2"/>
  </r>
  <r>
    <s v="ORD-153"/>
    <x v="52"/>
    <s v="CUST-19"/>
    <x v="0"/>
    <n v="900"/>
    <n v="2"/>
    <n v="270"/>
    <n v="0"/>
    <x v="0"/>
    <x v="1"/>
    <x v="18"/>
  </r>
  <r>
    <s v="ORD-154"/>
    <x v="53"/>
    <s v="CUST-09"/>
    <x v="1"/>
    <n v="430"/>
    <n v="2"/>
    <n v="-21.5"/>
    <n v="0.15"/>
    <x v="1"/>
    <x v="1"/>
    <x v="8"/>
  </r>
  <r>
    <s v="ORD-155"/>
    <x v="54"/>
    <s v="CUST-13"/>
    <x v="0"/>
    <n v="2500"/>
    <n v="5"/>
    <n v="750"/>
    <n v="0"/>
    <x v="3"/>
    <x v="0"/>
    <x v="12"/>
  </r>
  <r>
    <s v="ORD-156"/>
    <x v="55"/>
    <s v="CUST-01"/>
    <x v="1"/>
    <n v="700"/>
    <n v="3"/>
    <n v="70"/>
    <n v="0"/>
    <x v="0"/>
    <x v="0"/>
    <x v="0"/>
  </r>
  <r>
    <s v="ORD-157"/>
    <x v="56"/>
    <s v="CUST-25"/>
    <x v="2"/>
    <n v="140"/>
    <n v="5"/>
    <n v="56"/>
    <n v="0"/>
    <x v="0"/>
    <x v="2"/>
    <x v="24"/>
  </r>
  <r>
    <s v="ORD-158"/>
    <x v="57"/>
    <s v="CUST-07"/>
    <x v="0"/>
    <n v="1900"/>
    <n v="4"/>
    <n v="570"/>
    <n v="0"/>
    <x v="1"/>
    <x v="0"/>
    <x v="6"/>
  </r>
  <r>
    <s v="ORD-159"/>
    <x v="58"/>
    <s v="CUST-11"/>
    <x v="1"/>
    <n v="640"/>
    <n v="3"/>
    <n v="64"/>
    <n v="0"/>
    <x v="0"/>
    <x v="2"/>
    <x v="10"/>
  </r>
  <r>
    <s v="ORD-160"/>
    <x v="59"/>
    <s v="CUST-21"/>
    <x v="0"/>
    <n v="1400"/>
    <n v="3"/>
    <n v="420"/>
    <n v="0"/>
    <x v="2"/>
    <x v="1"/>
    <x v="20"/>
  </r>
  <r>
    <s v="ORD-161"/>
    <x v="60"/>
    <s v="CUST-06"/>
    <x v="2"/>
    <n v="90"/>
    <n v="4"/>
    <n v="36"/>
    <n v="0"/>
    <x v="0"/>
    <x v="1"/>
    <x v="5"/>
  </r>
  <r>
    <s v="ORD-162"/>
    <x v="61"/>
    <s v="CUST-18"/>
    <x v="1"/>
    <n v="880"/>
    <n v="4"/>
    <n v="-88"/>
    <n v="0.2"/>
    <x v="3"/>
    <x v="0"/>
    <x v="17"/>
  </r>
  <r>
    <s v="ORD-163"/>
    <x v="62"/>
    <s v="CUST-10"/>
    <x v="2"/>
    <n v="110"/>
    <n v="3"/>
    <n v="44"/>
    <n v="0"/>
    <x v="2"/>
    <x v="0"/>
    <x v="9"/>
  </r>
  <r>
    <s v="ORD-164"/>
    <x v="63"/>
    <s v="CUST-14"/>
    <x v="0"/>
    <n v="1650"/>
    <n v="3"/>
    <n v="495"/>
    <n v="0"/>
    <x v="3"/>
    <x v="1"/>
    <x v="13"/>
  </r>
  <r>
    <s v="ORD-165"/>
    <x v="64"/>
    <s v="CUST-23"/>
    <x v="0"/>
    <n v="2300"/>
    <n v="5"/>
    <n v="690"/>
    <n v="0"/>
    <x v="1"/>
    <x v="0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68112-0EA4-4503-A44F-BD8764B00A3E}" name="PivotTable4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3">
    <pivotField showAll="0"/>
    <pivotField numFmtId="14" showAll="0">
      <items count="66">
        <item x="0"/>
        <item x="1"/>
        <item x="48"/>
        <item x="2"/>
        <item x="58"/>
        <item x="3"/>
        <item x="4"/>
        <item x="49"/>
        <item x="5"/>
        <item x="6"/>
        <item x="7"/>
        <item x="8"/>
        <item x="9"/>
        <item x="50"/>
        <item x="10"/>
        <item x="11"/>
        <item x="12"/>
        <item x="59"/>
        <item x="13"/>
        <item x="51"/>
        <item x="14"/>
        <item x="15"/>
        <item x="16"/>
        <item x="17"/>
        <item x="52"/>
        <item x="18"/>
        <item x="60"/>
        <item x="19"/>
        <item x="20"/>
        <item x="21"/>
        <item x="22"/>
        <item x="53"/>
        <item x="23"/>
        <item x="24"/>
        <item x="25"/>
        <item x="26"/>
        <item x="54"/>
        <item x="27"/>
        <item x="28"/>
        <item x="29"/>
        <item x="55"/>
        <item x="30"/>
        <item x="31"/>
        <item x="61"/>
        <item x="32"/>
        <item x="33"/>
        <item x="34"/>
        <item x="35"/>
        <item x="36"/>
        <item x="56"/>
        <item x="37"/>
        <item x="38"/>
        <item x="62"/>
        <item x="39"/>
        <item x="40"/>
        <item x="57"/>
        <item x="41"/>
        <item x="42"/>
        <item x="63"/>
        <item x="43"/>
        <item x="44"/>
        <item x="45"/>
        <item x="64"/>
        <item x="46"/>
        <item x="47"/>
        <item t="default"/>
      </items>
    </pivotField>
    <pivotField showAll="0"/>
    <pivotField showAll="0"/>
    <pivotField dataField="1" showAll="0" includeNewItemsInFilter="1" sumSubtotal="1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F70BE-012B-4794-98F8-673ECF16818B}" name="PivotTable5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13">
    <pivotField showAll="0"/>
    <pivotField numFmtId="14" showAll="0">
      <items count="66">
        <item x="0"/>
        <item x="1"/>
        <item x="48"/>
        <item x="2"/>
        <item x="58"/>
        <item x="3"/>
        <item x="4"/>
        <item x="49"/>
        <item x="5"/>
        <item x="6"/>
        <item x="7"/>
        <item x="8"/>
        <item x="9"/>
        <item x="50"/>
        <item x="10"/>
        <item x="11"/>
        <item x="12"/>
        <item x="59"/>
        <item x="13"/>
        <item x="51"/>
        <item x="14"/>
        <item x="15"/>
        <item x="16"/>
        <item x="17"/>
        <item x="52"/>
        <item x="18"/>
        <item x="60"/>
        <item x="19"/>
        <item x="20"/>
        <item x="21"/>
        <item x="22"/>
        <item x="53"/>
        <item x="23"/>
        <item x="24"/>
        <item x="25"/>
        <item x="26"/>
        <item x="54"/>
        <item x="27"/>
        <item x="28"/>
        <item x="29"/>
        <item x="55"/>
        <item x="30"/>
        <item x="31"/>
        <item x="61"/>
        <item x="32"/>
        <item x="33"/>
        <item x="34"/>
        <item x="35"/>
        <item x="36"/>
        <item x="56"/>
        <item x="37"/>
        <item x="38"/>
        <item x="62"/>
        <item x="39"/>
        <item x="40"/>
        <item x="57"/>
        <item x="41"/>
        <item x="42"/>
        <item x="63"/>
        <item x="43"/>
        <item x="44"/>
        <item x="45"/>
        <item x="64"/>
        <item x="46"/>
        <item x="47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2EAFB-D43F-44BF-9436-E04F6393D91B}" name="PivotTable7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axis="axisRow" numFmtId="14" showAll="0">
      <items count="66">
        <item x="0"/>
        <item x="1"/>
        <item x="48"/>
        <item x="2"/>
        <item x="58"/>
        <item x="3"/>
        <item x="4"/>
        <item x="49"/>
        <item x="5"/>
        <item x="6"/>
        <item x="7"/>
        <item x="8"/>
        <item x="9"/>
        <item x="50"/>
        <item x="10"/>
        <item x="11"/>
        <item x="12"/>
        <item x="59"/>
        <item x="13"/>
        <item x="51"/>
        <item x="14"/>
        <item x="15"/>
        <item x="16"/>
        <item x="17"/>
        <item x="52"/>
        <item x="18"/>
        <item x="60"/>
        <item x="19"/>
        <item x="20"/>
        <item x="21"/>
        <item x="22"/>
        <item x="53"/>
        <item x="23"/>
        <item x="24"/>
        <item x="25"/>
        <item x="26"/>
        <item x="54"/>
        <item x="27"/>
        <item x="28"/>
        <item x="29"/>
        <item x="55"/>
        <item x="30"/>
        <item x="31"/>
        <item x="61"/>
        <item x="32"/>
        <item x="33"/>
        <item x="34"/>
        <item x="35"/>
        <item x="36"/>
        <item x="56"/>
        <item x="37"/>
        <item x="38"/>
        <item x="62"/>
        <item x="39"/>
        <item x="40"/>
        <item x="57"/>
        <item x="41"/>
        <item x="42"/>
        <item x="63"/>
        <item x="43"/>
        <item x="44"/>
        <item x="45"/>
        <item x="64"/>
        <item x="46"/>
        <item x="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35658-F274-435B-9FA7-69B9D065A7D6}" name="PivotTable7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3">
    <pivotField showAll="0"/>
    <pivotField numFmtId="14" showAll="0">
      <items count="66">
        <item x="0"/>
        <item x="1"/>
        <item x="48"/>
        <item x="2"/>
        <item x="58"/>
        <item x="3"/>
        <item x="4"/>
        <item x="49"/>
        <item x="5"/>
        <item x="6"/>
        <item x="7"/>
        <item x="8"/>
        <item x="9"/>
        <item x="50"/>
        <item x="10"/>
        <item x="11"/>
        <item x="12"/>
        <item x="59"/>
        <item x="13"/>
        <item x="51"/>
        <item x="14"/>
        <item x="15"/>
        <item x="16"/>
        <item x="17"/>
        <item x="52"/>
        <item x="18"/>
        <item x="60"/>
        <item x="19"/>
        <item x="20"/>
        <item x="21"/>
        <item x="22"/>
        <item x="53"/>
        <item x="23"/>
        <item x="24"/>
        <item x="25"/>
        <item x="26"/>
        <item x="54"/>
        <item x="27"/>
        <item x="28"/>
        <item x="29"/>
        <item x="55"/>
        <item x="30"/>
        <item x="31"/>
        <item x="61"/>
        <item x="32"/>
        <item x="33"/>
        <item x="34"/>
        <item x="35"/>
        <item x="36"/>
        <item x="56"/>
        <item x="37"/>
        <item x="38"/>
        <item x="62"/>
        <item x="39"/>
        <item x="40"/>
        <item x="57"/>
        <item x="41"/>
        <item x="42"/>
        <item x="63"/>
        <item x="43"/>
        <item x="44"/>
        <item x="45"/>
        <item x="64"/>
        <item x="46"/>
        <item x="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6">
        <item x="0"/>
        <item x="7"/>
        <item x="24"/>
        <item x="1"/>
        <item x="10"/>
        <item x="16"/>
        <item x="18"/>
        <item x="3"/>
        <item x="19"/>
        <item x="5"/>
        <item x="4"/>
        <item x="11"/>
        <item x="6"/>
        <item x="23"/>
        <item x="15"/>
        <item x="22"/>
        <item x="12"/>
        <item x="9"/>
        <item x="2"/>
        <item x="8"/>
        <item x="20"/>
        <item x="13"/>
        <item x="17"/>
        <item x="2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26">
    <i>
      <x v="7"/>
    </i>
    <i>
      <x v="15"/>
    </i>
    <i>
      <x v="16"/>
    </i>
    <i>
      <x v="23"/>
    </i>
    <i>
      <x v="22"/>
    </i>
    <i>
      <x v="14"/>
    </i>
    <i>
      <x v="12"/>
    </i>
    <i>
      <x v="13"/>
    </i>
    <i>
      <x v="11"/>
    </i>
    <i>
      <x v="3"/>
    </i>
    <i>
      <x v="21"/>
    </i>
    <i>
      <x v="20"/>
    </i>
    <i>
      <x v="19"/>
    </i>
    <i>
      <x/>
    </i>
    <i>
      <x v="4"/>
    </i>
    <i>
      <x v="17"/>
    </i>
    <i>
      <x v="10"/>
    </i>
    <i>
      <x v="8"/>
    </i>
    <i>
      <x v="6"/>
    </i>
    <i>
      <x v="18"/>
    </i>
    <i>
      <x v="2"/>
    </i>
    <i>
      <x v="5"/>
    </i>
    <i>
      <x v="9"/>
    </i>
    <i>
      <x v="24"/>
    </i>
    <i>
      <x v="1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6F282-EA5A-4A3E-88AC-8067464A3FAF}" name="Table1" displayName="Table1" ref="A1:D26" totalsRowShown="0" headerRowDxfId="23" headerRowBorderDxfId="22" tableBorderDxfId="21" totalsRowBorderDxfId="20">
  <autoFilter ref="A1:D26" xr:uid="{3936F282-EA5A-4A3E-88AC-8067464A3FAF}"/>
  <tableColumns count="4">
    <tableColumn id="1" xr3:uid="{59C41648-DE7C-4E65-A215-A2C97FB11CA2}" name="Customer_ID" dataDxfId="19"/>
    <tableColumn id="2" xr3:uid="{368C9B63-1FD8-4F18-BDC0-0DE405052E5A}" name="Customer_Name" dataDxfId="18"/>
    <tableColumn id="3" xr3:uid="{5E89F9B1-721A-47E1-A068-4F89773B79C1}" name="Region" dataDxfId="17"/>
    <tableColumn id="4" xr3:uid="{8432A8E8-1651-4CE1-A219-8D41B02ACD12}" name="Segmen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DF2B28-F47D-4A1C-8B38-80AA639888DA}" name="Table2" displayName="Table2" ref="F1:P66" totalsRowShown="0" headerRowDxfId="15" dataDxfId="13" headerRowBorderDxfId="14" tableBorderDxfId="12" totalsRowBorderDxfId="11">
  <autoFilter ref="F1:P66" xr:uid="{44DF2B28-F47D-4A1C-8B38-80AA639888DA}">
    <filterColumn colId="8">
      <filters>
        <filter val="North"/>
      </filters>
    </filterColumn>
  </autoFilter>
  <tableColumns count="11">
    <tableColumn id="1" xr3:uid="{D3B5BFBD-1F05-4000-94DD-E6D39544A91A}" name="Order_ID" dataDxfId="10"/>
    <tableColumn id="2" xr3:uid="{83AF40A2-B283-40F0-85F6-075B1A71A13F}" name="Order_Date" dataDxfId="9"/>
    <tableColumn id="3" xr3:uid="{59E75D89-CE01-4116-AE51-5C296536DBD3}" name="Customer_ID" dataDxfId="8"/>
    <tableColumn id="4" xr3:uid="{59980A91-0BE2-47AA-AE63-5BBB13104CF3}" name="Product_Category" dataDxfId="7"/>
    <tableColumn id="5" xr3:uid="{1F86F8CE-74A6-4E6F-9100-53BA7497F71D}" name="Sales" dataDxfId="6"/>
    <tableColumn id="6" xr3:uid="{53BB67EA-1FFB-4CD2-A247-167BB4651BAE}" name="Quantity" dataDxfId="5"/>
    <tableColumn id="7" xr3:uid="{F6C1001A-1B16-4947-8F0A-F2350DDC61CE}" name="Profit" dataDxfId="4"/>
    <tableColumn id="8" xr3:uid="{D8A1E3A8-77B1-4C43-8A11-12C101AFA9DB}" name="Discount" dataDxfId="3"/>
    <tableColumn id="9" xr3:uid="{3AD6A9B3-9257-47CD-A25A-7E9059FE2318}" name="Region" dataDxfId="2">
      <calculatedColumnFormula>VLOOKUP(Table2[[#This Row],[Customer_ID]],Table1[#All],3,0)</calculatedColumnFormula>
    </tableColumn>
    <tableColumn id="10" xr3:uid="{F2DB7FBE-F93D-44F5-8B3E-46C073C1899A}" name="Segment" dataDxfId="1">
      <calculatedColumnFormula>VLOOKUP(Table2[[#This Row],[Customer_ID]],Table1[#All],4,0)</calculatedColumnFormula>
    </tableColumn>
    <tableColumn id="11" xr3:uid="{2772ED3E-DD4B-4128-883C-84B80E37E8C3}" name="Customer_Name" dataDxfId="0">
      <calculatedColumnFormula>VLOOKUP(Table2[[#This Row],[Customer_ID]],Table1[],2,0)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30F-0B99-4F3E-B8EA-7AC02246A5AB}">
  <dimension ref="A1:R66"/>
  <sheetViews>
    <sheetView tabSelected="1" topLeftCell="I1" workbookViewId="0">
      <selection activeCell="T34" sqref="T34"/>
    </sheetView>
  </sheetViews>
  <sheetFormatPr defaultRowHeight="14.5" x14ac:dyDescent="0.35"/>
  <cols>
    <col min="1" max="1" width="16" customWidth="1"/>
    <col min="2" max="2" width="19.453125" customWidth="1"/>
    <col min="3" max="3" width="10.453125" customWidth="1"/>
    <col min="4" max="4" width="14.36328125" customWidth="1"/>
    <col min="6" max="6" width="12.1796875" customWidth="1"/>
    <col min="7" max="7" width="14.54296875" customWidth="1"/>
    <col min="8" max="8" width="16" customWidth="1"/>
    <col min="9" max="9" width="20.7265625" customWidth="1"/>
    <col min="10" max="10" width="9" customWidth="1"/>
    <col min="11" max="11" width="11.6328125" customWidth="1"/>
    <col min="12" max="12" width="8.90625" customWidth="1"/>
    <col min="13" max="13" width="12.1796875" customWidth="1"/>
    <col min="14" max="14" width="11.7265625" customWidth="1"/>
    <col min="15" max="15" width="13.36328125" customWidth="1"/>
    <col min="16" max="16" width="17.6328125" bestFit="1" customWidth="1"/>
    <col min="17" max="17" width="11" bestFit="1" customWidth="1"/>
    <col min="18" max="18" width="13.6328125" bestFit="1" customWidth="1"/>
  </cols>
  <sheetData>
    <row r="1" spans="1:18" ht="15" thickBot="1" x14ac:dyDescent="0.4">
      <c r="A1" s="6" t="s">
        <v>0</v>
      </c>
      <c r="B1" s="7" t="s">
        <v>1</v>
      </c>
      <c r="C1" s="7" t="s">
        <v>2</v>
      </c>
      <c r="D1" s="8" t="s">
        <v>3</v>
      </c>
      <c r="F1" s="14" t="s">
        <v>61</v>
      </c>
      <c r="G1" s="15" t="s">
        <v>62</v>
      </c>
      <c r="H1" s="15" t="s">
        <v>0</v>
      </c>
      <c r="I1" s="15" t="s">
        <v>63</v>
      </c>
      <c r="J1" s="15" t="s">
        <v>64</v>
      </c>
      <c r="K1" s="15" t="s">
        <v>65</v>
      </c>
      <c r="L1" s="15" t="s">
        <v>66</v>
      </c>
      <c r="M1" s="16" t="s">
        <v>67</v>
      </c>
      <c r="N1" s="15" t="s">
        <v>2</v>
      </c>
      <c r="O1" s="15" t="s">
        <v>3</v>
      </c>
      <c r="P1" s="16" t="s">
        <v>1</v>
      </c>
      <c r="Q1" s="30" t="s">
        <v>146</v>
      </c>
      <c r="R1" s="31" t="s">
        <v>147</v>
      </c>
    </row>
    <row r="2" spans="1:18" ht="15" thickBot="1" x14ac:dyDescent="0.4">
      <c r="A2" s="4" t="s">
        <v>4</v>
      </c>
      <c r="B2" s="1" t="s">
        <v>5</v>
      </c>
      <c r="C2" s="1" t="s">
        <v>6</v>
      </c>
      <c r="D2" s="5" t="s">
        <v>7</v>
      </c>
      <c r="F2" s="12" t="s">
        <v>68</v>
      </c>
      <c r="G2" s="3">
        <v>46027</v>
      </c>
      <c r="H2" s="2" t="s">
        <v>4</v>
      </c>
      <c r="I2" s="2" t="s">
        <v>69</v>
      </c>
      <c r="J2" s="2">
        <v>1200</v>
      </c>
      <c r="K2" s="2">
        <v>3</v>
      </c>
      <c r="L2" s="2">
        <v>360</v>
      </c>
      <c r="M2" s="13">
        <v>0</v>
      </c>
      <c r="N2" s="21" t="str">
        <f>VLOOKUP(Table2[[#This Row],[Customer_ID]],Table1[#All],3,0)</f>
        <v>North</v>
      </c>
      <c r="O2" s="21" t="str">
        <f>VLOOKUP(Table2[[#This Row],[Customer_ID]],Table1[#All],4,0)</f>
        <v>Corporate</v>
      </c>
      <c r="P2" s="25" t="str">
        <f>VLOOKUP(Table2[[#This Row],[Customer_ID]],Table1[],2,0)</f>
        <v>Aarav Mehta</v>
      </c>
      <c r="Q2" s="26" cm="1">
        <f t="array" ref="Q2:Q62">(L2:L62/J2:J62)*100</f>
        <v>30</v>
      </c>
      <c r="R2" s="27">
        <f>SUM(J2:J62)/COUNTA(F2:F62)</f>
        <v>828.77049180327867</v>
      </c>
    </row>
    <row r="3" spans="1:18" ht="15" hidden="1" thickBot="1" x14ac:dyDescent="0.4">
      <c r="A3" s="4" t="s">
        <v>8</v>
      </c>
      <c r="B3" s="1" t="s">
        <v>9</v>
      </c>
      <c r="C3" s="1" t="s">
        <v>10</v>
      </c>
      <c r="D3" s="5" t="s">
        <v>11</v>
      </c>
      <c r="F3" s="12" t="s">
        <v>70</v>
      </c>
      <c r="G3" s="3">
        <v>46029</v>
      </c>
      <c r="H3" s="2" t="s">
        <v>8</v>
      </c>
      <c r="I3" s="2" t="s">
        <v>71</v>
      </c>
      <c r="J3" s="2">
        <v>450</v>
      </c>
      <c r="K3" s="2">
        <v>2</v>
      </c>
      <c r="L3" s="2">
        <v>-45</v>
      </c>
      <c r="M3" s="13">
        <v>0.2</v>
      </c>
      <c r="N3" s="2" t="str">
        <f>VLOOKUP(Table2[[#This Row],[Customer_ID]],Table1[#All],3,0)</f>
        <v>South</v>
      </c>
      <c r="O3" s="2" t="str">
        <f>VLOOKUP(Table2[[#This Row],[Customer_ID]],Table1[#All],4,0)</f>
        <v>Consumer</v>
      </c>
      <c r="P3" s="25" t="str">
        <f>VLOOKUP(Table2[[#This Row],[Customer_ID]],Table1[],2,0)</f>
        <v>Ananya Sharma</v>
      </c>
      <c r="Q3" s="26">
        <v>-10</v>
      </c>
      <c r="R3" s="27">
        <f t="shared" ref="R3:R62" si="0">SUM(J3:J63)/COUNTA(F3:F63)</f>
        <v>823.52459016393448</v>
      </c>
    </row>
    <row r="4" spans="1:18" ht="15" hidden="1" thickBot="1" x14ac:dyDescent="0.4">
      <c r="A4" s="4" t="s">
        <v>12</v>
      </c>
      <c r="B4" s="1" t="s">
        <v>13</v>
      </c>
      <c r="C4" s="1" t="s">
        <v>14</v>
      </c>
      <c r="D4" s="5" t="s">
        <v>15</v>
      </c>
      <c r="F4" s="12" t="s">
        <v>72</v>
      </c>
      <c r="G4" s="3">
        <v>46034</v>
      </c>
      <c r="H4" s="2" t="s">
        <v>12</v>
      </c>
      <c r="I4" s="2" t="s">
        <v>73</v>
      </c>
      <c r="J4" s="2">
        <v>85</v>
      </c>
      <c r="K4" s="2">
        <v>5</v>
      </c>
      <c r="L4" s="2">
        <v>25.5</v>
      </c>
      <c r="M4" s="13">
        <v>0</v>
      </c>
      <c r="N4" s="2" t="str">
        <f>VLOOKUP(Table2[[#This Row],[Customer_ID]],Table1[#All],3,0)</f>
        <v>East</v>
      </c>
      <c r="O4" s="2" t="str">
        <f>VLOOKUP(Table2[[#This Row],[Customer_ID]],Table1[#All],4,0)</f>
        <v>Home Office</v>
      </c>
      <c r="P4" s="25" t="str">
        <f>VLOOKUP(Table2[[#This Row],[Customer_ID]],Table1[],2,0)</f>
        <v>Rohan Das</v>
      </c>
      <c r="Q4" s="26">
        <v>30</v>
      </c>
      <c r="R4" s="27">
        <f t="shared" si="0"/>
        <v>817.95081967213116</v>
      </c>
    </row>
    <row r="5" spans="1:18" ht="15" hidden="1" thickBot="1" x14ac:dyDescent="0.4">
      <c r="A5" s="4" t="s">
        <v>16</v>
      </c>
      <c r="B5" s="1" t="s">
        <v>17</v>
      </c>
      <c r="C5" s="1" t="s">
        <v>14</v>
      </c>
      <c r="D5" s="5" t="s">
        <v>7</v>
      </c>
      <c r="F5" s="12" t="s">
        <v>74</v>
      </c>
      <c r="G5" s="3">
        <v>46037</v>
      </c>
      <c r="H5" s="2" t="s">
        <v>16</v>
      </c>
      <c r="I5" s="2" t="s">
        <v>69</v>
      </c>
      <c r="J5" s="2">
        <v>2100</v>
      </c>
      <c r="K5" s="2">
        <v>4</v>
      </c>
      <c r="L5" s="2">
        <v>630</v>
      </c>
      <c r="M5" s="13">
        <v>0</v>
      </c>
      <c r="N5" s="2" t="str">
        <f>VLOOKUP(Table2[[#This Row],[Customer_ID]],Table1[#All],3,0)</f>
        <v>East</v>
      </c>
      <c r="O5" s="2" t="str">
        <f>VLOOKUP(Table2[[#This Row],[Customer_ID]],Table1[#All],4,0)</f>
        <v>Corporate</v>
      </c>
      <c r="P5" s="25" t="str">
        <f>VLOOKUP(Table2[[#This Row],[Customer_ID]],Table1[],2,0)</f>
        <v>Diya Banerjee</v>
      </c>
      <c r="Q5" s="26">
        <v>30</v>
      </c>
      <c r="R5" s="27">
        <f t="shared" si="0"/>
        <v>843.60655737704917</v>
      </c>
    </row>
    <row r="6" spans="1:18" ht="15" hidden="1" thickBot="1" x14ac:dyDescent="0.4">
      <c r="A6" s="4" t="s">
        <v>18</v>
      </c>
      <c r="B6" s="1" t="s">
        <v>19</v>
      </c>
      <c r="C6" s="1" t="s">
        <v>20</v>
      </c>
      <c r="D6" s="5" t="s">
        <v>11</v>
      </c>
      <c r="F6" s="12" t="s">
        <v>75</v>
      </c>
      <c r="G6" s="3">
        <v>46040</v>
      </c>
      <c r="H6" s="2" t="s">
        <v>18</v>
      </c>
      <c r="I6" s="2" t="s">
        <v>71</v>
      </c>
      <c r="J6" s="2">
        <v>600</v>
      </c>
      <c r="K6" s="2">
        <v>3</v>
      </c>
      <c r="L6" s="2">
        <v>60</v>
      </c>
      <c r="M6" s="13">
        <v>0.1</v>
      </c>
      <c r="N6" s="2" t="str">
        <f>VLOOKUP(Table2[[#This Row],[Customer_ID]],Table1[#All],3,0)</f>
        <v>West</v>
      </c>
      <c r="O6" s="2" t="str">
        <f>VLOOKUP(Table2[[#This Row],[Customer_ID]],Table1[#All],4,0)</f>
        <v>Consumer</v>
      </c>
      <c r="P6" s="25" t="str">
        <f>VLOOKUP(Table2[[#This Row],[Customer_ID]],Table1[],2,0)</f>
        <v>Kabir Malhotra</v>
      </c>
      <c r="Q6" s="26">
        <v>10</v>
      </c>
      <c r="R6" s="27">
        <f t="shared" si="0"/>
        <v>846.88524590163934</v>
      </c>
    </row>
    <row r="7" spans="1:18" ht="15" thickBot="1" x14ac:dyDescent="0.4">
      <c r="A7" s="4" t="s">
        <v>21</v>
      </c>
      <c r="B7" s="1" t="s">
        <v>22</v>
      </c>
      <c r="C7" s="1" t="s">
        <v>6</v>
      </c>
      <c r="D7" s="5" t="s">
        <v>11</v>
      </c>
      <c r="F7" s="12" t="s">
        <v>76</v>
      </c>
      <c r="G7" s="3">
        <v>46044</v>
      </c>
      <c r="H7" s="2" t="s">
        <v>4</v>
      </c>
      <c r="I7" s="2" t="s">
        <v>73</v>
      </c>
      <c r="J7" s="2">
        <v>45</v>
      </c>
      <c r="K7" s="2">
        <v>2</v>
      </c>
      <c r="L7" s="2">
        <v>18</v>
      </c>
      <c r="M7" s="13">
        <v>0</v>
      </c>
      <c r="N7" s="2" t="str">
        <f>VLOOKUP(Table2[[#This Row],[Customer_ID]],Table1[#All],3,0)</f>
        <v>North</v>
      </c>
      <c r="O7" s="2" t="str">
        <f>VLOOKUP(Table2[[#This Row],[Customer_ID]],Table1[#All],4,0)</f>
        <v>Corporate</v>
      </c>
      <c r="P7" s="25" t="str">
        <f>VLOOKUP(Table2[[#This Row],[Customer_ID]],Table1[],2,0)</f>
        <v>Aarav Mehta</v>
      </c>
      <c r="Q7" s="26">
        <v>40</v>
      </c>
      <c r="R7" s="27">
        <f t="shared" si="0"/>
        <v>851</v>
      </c>
    </row>
    <row r="8" spans="1:18" ht="15" thickBot="1" x14ac:dyDescent="0.4">
      <c r="A8" s="4" t="s">
        <v>23</v>
      </c>
      <c r="B8" s="1" t="s">
        <v>24</v>
      </c>
      <c r="C8" s="1" t="s">
        <v>10</v>
      </c>
      <c r="D8" s="5" t="s">
        <v>7</v>
      </c>
      <c r="F8" s="12" t="s">
        <v>77</v>
      </c>
      <c r="G8" s="3">
        <v>46047</v>
      </c>
      <c r="H8" s="2" t="s">
        <v>21</v>
      </c>
      <c r="I8" s="2" t="s">
        <v>69</v>
      </c>
      <c r="J8" s="2">
        <v>350</v>
      </c>
      <c r="K8" s="2">
        <v>1</v>
      </c>
      <c r="L8" s="2">
        <v>70</v>
      </c>
      <c r="M8" s="13">
        <v>0.15</v>
      </c>
      <c r="N8" s="2" t="str">
        <f>VLOOKUP(Table2[[#This Row],[Customer_ID]],Table1[#All],3,0)</f>
        <v>North</v>
      </c>
      <c r="O8" s="2" t="str">
        <f>VLOOKUP(Table2[[#This Row],[Customer_ID]],Table1[#All],4,0)</f>
        <v>Consumer</v>
      </c>
      <c r="P8" s="25" t="str">
        <f>VLOOKUP(Table2[[#This Row],[Customer_ID]],Table1[],2,0)</f>
        <v>Ishaan Verma</v>
      </c>
      <c r="Q8" s="26">
        <v>20</v>
      </c>
      <c r="R8" s="27">
        <f t="shared" si="0"/>
        <v>864.66101694915255</v>
      </c>
    </row>
    <row r="9" spans="1:18" ht="15" hidden="1" thickBot="1" x14ac:dyDescent="0.4">
      <c r="A9" s="4" t="s">
        <v>25</v>
      </c>
      <c r="B9" s="1" t="s">
        <v>26</v>
      </c>
      <c r="C9" s="1" t="s">
        <v>20</v>
      </c>
      <c r="D9" s="5" t="s">
        <v>15</v>
      </c>
      <c r="F9" s="12" t="s">
        <v>78</v>
      </c>
      <c r="G9" s="3">
        <v>46051</v>
      </c>
      <c r="H9" s="2" t="s">
        <v>23</v>
      </c>
      <c r="I9" s="2" t="s">
        <v>71</v>
      </c>
      <c r="J9" s="2">
        <v>890</v>
      </c>
      <c r="K9" s="2">
        <v>4</v>
      </c>
      <c r="L9" s="2">
        <v>-89</v>
      </c>
      <c r="M9" s="13">
        <v>0.25</v>
      </c>
      <c r="N9" s="2" t="str">
        <f>VLOOKUP(Table2[[#This Row],[Customer_ID]],Table1[#All],3,0)</f>
        <v>South</v>
      </c>
      <c r="O9" s="2" t="str">
        <f>VLOOKUP(Table2[[#This Row],[Customer_ID]],Table1[#All],4,0)</f>
        <v>Corporate</v>
      </c>
      <c r="P9" s="25" t="str">
        <f>VLOOKUP(Table2[[#This Row],[Customer_ID]],Table1[],2,0)</f>
        <v>Meera Nair</v>
      </c>
      <c r="Q9" s="26">
        <v>-10</v>
      </c>
      <c r="R9" s="27">
        <f t="shared" si="0"/>
        <v>873.5344827586207</v>
      </c>
    </row>
    <row r="10" spans="1:18" ht="15" hidden="1" thickBot="1" x14ac:dyDescent="0.4">
      <c r="A10" s="4" t="s">
        <v>27</v>
      </c>
      <c r="B10" s="1" t="s">
        <v>28</v>
      </c>
      <c r="C10" s="1" t="s">
        <v>10</v>
      </c>
      <c r="D10" s="5" t="s">
        <v>11</v>
      </c>
      <c r="F10" s="12" t="s">
        <v>79</v>
      </c>
      <c r="G10" s="3">
        <v>46055</v>
      </c>
      <c r="H10" s="2" t="s">
        <v>25</v>
      </c>
      <c r="I10" s="2" t="s">
        <v>73</v>
      </c>
      <c r="J10" s="2">
        <v>120</v>
      </c>
      <c r="K10" s="2">
        <v>6</v>
      </c>
      <c r="L10" s="2">
        <v>48</v>
      </c>
      <c r="M10" s="13">
        <v>0</v>
      </c>
      <c r="N10" s="2" t="str">
        <f>VLOOKUP(Table2[[#This Row],[Customer_ID]],Table1[#All],3,0)</f>
        <v>West</v>
      </c>
      <c r="O10" s="2" t="str">
        <f>VLOOKUP(Table2[[#This Row],[Customer_ID]],Table1[#All],4,0)</f>
        <v>Home Office</v>
      </c>
      <c r="P10" s="25" t="str">
        <f>VLOOKUP(Table2[[#This Row],[Customer_ID]],Table1[],2,0)</f>
        <v>Aditya Joshi</v>
      </c>
      <c r="Q10" s="26">
        <v>40</v>
      </c>
      <c r="R10" s="27">
        <f t="shared" si="0"/>
        <v>873.24561403508767</v>
      </c>
    </row>
    <row r="11" spans="1:18" ht="15" hidden="1" thickBot="1" x14ac:dyDescent="0.4">
      <c r="A11" s="4" t="s">
        <v>29</v>
      </c>
      <c r="B11" s="1" t="s">
        <v>30</v>
      </c>
      <c r="C11" s="1" t="s">
        <v>14</v>
      </c>
      <c r="D11" s="5" t="s">
        <v>7</v>
      </c>
      <c r="F11" s="12" t="s">
        <v>80</v>
      </c>
      <c r="G11" s="3">
        <v>46058</v>
      </c>
      <c r="H11" s="2" t="s">
        <v>27</v>
      </c>
      <c r="I11" s="2" t="s">
        <v>69</v>
      </c>
      <c r="J11" s="2">
        <v>1500</v>
      </c>
      <c r="K11" s="2">
        <v>2</v>
      </c>
      <c r="L11" s="2">
        <v>450</v>
      </c>
      <c r="M11" s="13">
        <v>0</v>
      </c>
      <c r="N11" s="2" t="str">
        <f>VLOOKUP(Table2[[#This Row],[Customer_ID]],Table1[#All],3,0)</f>
        <v>South</v>
      </c>
      <c r="O11" s="2" t="str">
        <f>VLOOKUP(Table2[[#This Row],[Customer_ID]],Table1[#All],4,0)</f>
        <v>Consumer</v>
      </c>
      <c r="P11" s="25" t="str">
        <f>VLOOKUP(Table2[[#This Row],[Customer_ID]],Table1[],2,0)</f>
        <v>Sai Reddy</v>
      </c>
      <c r="Q11" s="26">
        <v>30</v>
      </c>
      <c r="R11" s="27">
        <f t="shared" si="0"/>
        <v>886.69642857142856</v>
      </c>
    </row>
    <row r="12" spans="1:18" ht="15" hidden="1" thickBot="1" x14ac:dyDescent="0.4">
      <c r="A12" s="4" t="s">
        <v>31</v>
      </c>
      <c r="B12" s="1" t="s">
        <v>32</v>
      </c>
      <c r="C12" s="1" t="s">
        <v>6</v>
      </c>
      <c r="D12" s="5" t="s">
        <v>15</v>
      </c>
      <c r="F12" s="12" t="s">
        <v>81</v>
      </c>
      <c r="G12" s="3">
        <v>46063</v>
      </c>
      <c r="H12" s="2" t="s">
        <v>29</v>
      </c>
      <c r="I12" s="2" t="s">
        <v>71</v>
      </c>
      <c r="J12" s="2">
        <v>320</v>
      </c>
      <c r="K12" s="2">
        <v>1</v>
      </c>
      <c r="L12" s="2">
        <v>32</v>
      </c>
      <c r="M12" s="13">
        <v>0</v>
      </c>
      <c r="N12" s="2" t="str">
        <f>VLOOKUP(Table2[[#This Row],[Customer_ID]],Table1[#All],3,0)</f>
        <v>East</v>
      </c>
      <c r="O12" s="2" t="str">
        <f>VLOOKUP(Table2[[#This Row],[Customer_ID]],Table1[#All],4,0)</f>
        <v>Corporate</v>
      </c>
      <c r="P12" s="25" t="str">
        <f>VLOOKUP(Table2[[#This Row],[Customer_ID]],Table1[],2,0)</f>
        <v>Riya Sen</v>
      </c>
      <c r="Q12" s="26">
        <v>10</v>
      </c>
      <c r="R12" s="27">
        <f t="shared" si="0"/>
        <v>875.5454545454545</v>
      </c>
    </row>
    <row r="13" spans="1:18" ht="15" hidden="1" thickBot="1" x14ac:dyDescent="0.4">
      <c r="A13" s="4" t="s">
        <v>33</v>
      </c>
      <c r="B13" s="1" t="s">
        <v>34</v>
      </c>
      <c r="C13" s="1" t="s">
        <v>10</v>
      </c>
      <c r="D13" s="5" t="s">
        <v>11</v>
      </c>
      <c r="F13" s="12" t="s">
        <v>82</v>
      </c>
      <c r="G13" s="3">
        <v>46067</v>
      </c>
      <c r="H13" s="2" t="s">
        <v>16</v>
      </c>
      <c r="I13" s="2" t="s">
        <v>73</v>
      </c>
      <c r="J13" s="2">
        <v>95</v>
      </c>
      <c r="K13" s="2">
        <v>3</v>
      </c>
      <c r="L13" s="2">
        <v>38</v>
      </c>
      <c r="M13" s="13">
        <v>0</v>
      </c>
      <c r="N13" s="2" t="str">
        <f>VLOOKUP(Table2[[#This Row],[Customer_ID]],Table1[#All],3,0)</f>
        <v>East</v>
      </c>
      <c r="O13" s="2" t="str">
        <f>VLOOKUP(Table2[[#This Row],[Customer_ID]],Table1[#All],4,0)</f>
        <v>Corporate</v>
      </c>
      <c r="P13" s="25" t="str">
        <f>VLOOKUP(Table2[[#This Row],[Customer_ID]],Table1[],2,0)</f>
        <v>Diya Banerjee</v>
      </c>
      <c r="Q13" s="26">
        <v>40</v>
      </c>
      <c r="R13" s="27">
        <f t="shared" si="0"/>
        <v>885.83333333333337</v>
      </c>
    </row>
    <row r="14" spans="1:18" ht="15" thickBot="1" x14ac:dyDescent="0.4">
      <c r="A14" s="4" t="s">
        <v>35</v>
      </c>
      <c r="B14" s="1" t="s">
        <v>36</v>
      </c>
      <c r="C14" s="1" t="s">
        <v>20</v>
      </c>
      <c r="D14" s="5" t="s">
        <v>7</v>
      </c>
      <c r="F14" s="12" t="s">
        <v>83</v>
      </c>
      <c r="G14" s="3">
        <v>46071</v>
      </c>
      <c r="H14" s="2" t="s">
        <v>31</v>
      </c>
      <c r="I14" s="2" t="s">
        <v>69</v>
      </c>
      <c r="J14" s="2">
        <v>800</v>
      </c>
      <c r="K14" s="2">
        <v>2</v>
      </c>
      <c r="L14" s="2">
        <v>160</v>
      </c>
      <c r="M14" s="13">
        <v>0.1</v>
      </c>
      <c r="N14" s="2" t="str">
        <f>VLOOKUP(Table2[[#This Row],[Customer_ID]],Table1[#All],3,0)</f>
        <v>North</v>
      </c>
      <c r="O14" s="2" t="str">
        <f>VLOOKUP(Table2[[#This Row],[Customer_ID]],Table1[#All],4,0)</f>
        <v>Home Office</v>
      </c>
      <c r="P14" s="25" t="str">
        <f>VLOOKUP(Table2[[#This Row],[Customer_ID]],Table1[],2,0)</f>
        <v>Arjun Gupta</v>
      </c>
      <c r="Q14" s="26">
        <v>20</v>
      </c>
      <c r="R14" s="27">
        <f t="shared" si="0"/>
        <v>900.75471698113211</v>
      </c>
    </row>
    <row r="15" spans="1:18" ht="15" hidden="1" thickBot="1" x14ac:dyDescent="0.4">
      <c r="A15" s="4" t="s">
        <v>37</v>
      </c>
      <c r="B15" s="1" t="s">
        <v>38</v>
      </c>
      <c r="C15" s="1" t="s">
        <v>20</v>
      </c>
      <c r="D15" s="5" t="s">
        <v>11</v>
      </c>
      <c r="F15" s="12" t="s">
        <v>84</v>
      </c>
      <c r="G15" s="3">
        <v>46074</v>
      </c>
      <c r="H15" s="2" t="s">
        <v>33</v>
      </c>
      <c r="I15" s="2" t="s">
        <v>71</v>
      </c>
      <c r="J15" s="2">
        <v>750</v>
      </c>
      <c r="K15" s="2">
        <v>5</v>
      </c>
      <c r="L15" s="2">
        <v>-75</v>
      </c>
      <c r="M15" s="13">
        <v>0.2</v>
      </c>
      <c r="N15" s="2" t="str">
        <f>VLOOKUP(Table2[[#This Row],[Customer_ID]],Table1[#All],3,0)</f>
        <v>South</v>
      </c>
      <c r="O15" s="2" t="str">
        <f>VLOOKUP(Table2[[#This Row],[Customer_ID]],Table1[#All],4,0)</f>
        <v>Consumer</v>
      </c>
      <c r="P15" s="25" t="str">
        <f>VLOOKUP(Table2[[#This Row],[Customer_ID]],Table1[],2,0)</f>
        <v>Kavya Iyer</v>
      </c>
      <c r="Q15" s="26">
        <v>-10</v>
      </c>
      <c r="R15" s="27">
        <f t="shared" si="0"/>
        <v>902.69230769230774</v>
      </c>
    </row>
    <row r="16" spans="1:18" ht="15" hidden="1" thickBot="1" x14ac:dyDescent="0.4">
      <c r="A16" s="4" t="s">
        <v>39</v>
      </c>
      <c r="B16" s="1" t="s">
        <v>40</v>
      </c>
      <c r="C16" s="1" t="s">
        <v>6</v>
      </c>
      <c r="D16" s="5" t="s">
        <v>7</v>
      </c>
      <c r="F16" s="12" t="s">
        <v>85</v>
      </c>
      <c r="G16" s="3">
        <v>46078</v>
      </c>
      <c r="H16" s="2" t="s">
        <v>35</v>
      </c>
      <c r="I16" s="2" t="s">
        <v>73</v>
      </c>
      <c r="J16" s="2">
        <v>55</v>
      </c>
      <c r="K16" s="2">
        <v>4</v>
      </c>
      <c r="L16" s="2">
        <v>22</v>
      </c>
      <c r="M16" s="13">
        <v>0</v>
      </c>
      <c r="N16" s="2" t="str">
        <f>VLOOKUP(Table2[[#This Row],[Customer_ID]],Table1[#All],3,0)</f>
        <v>West</v>
      </c>
      <c r="O16" s="2" t="str">
        <f>VLOOKUP(Table2[[#This Row],[Customer_ID]],Table1[#All],4,0)</f>
        <v>Corporate</v>
      </c>
      <c r="P16" s="25" t="str">
        <f>VLOOKUP(Table2[[#This Row],[Customer_ID]],Table1[],2,0)</f>
        <v>Reyansh Kapoor</v>
      </c>
      <c r="Q16" s="26">
        <v>40</v>
      </c>
      <c r="R16" s="27">
        <f t="shared" si="0"/>
        <v>905.68627450980387</v>
      </c>
    </row>
    <row r="17" spans="1:18" ht="15" hidden="1" thickBot="1" x14ac:dyDescent="0.4">
      <c r="A17" s="4" t="s">
        <v>41</v>
      </c>
      <c r="B17" s="1" t="s">
        <v>42</v>
      </c>
      <c r="C17" s="1" t="s">
        <v>10</v>
      </c>
      <c r="D17" s="5" t="s">
        <v>15</v>
      </c>
      <c r="F17" s="12" t="s">
        <v>86</v>
      </c>
      <c r="G17" s="3">
        <v>46081</v>
      </c>
      <c r="H17" s="2" t="s">
        <v>8</v>
      </c>
      <c r="I17" s="2" t="s">
        <v>69</v>
      </c>
      <c r="J17" s="2">
        <v>1750</v>
      </c>
      <c r="K17" s="2">
        <v>3</v>
      </c>
      <c r="L17" s="2">
        <v>525</v>
      </c>
      <c r="M17" s="13">
        <v>0</v>
      </c>
      <c r="N17" s="2" t="str">
        <f>VLOOKUP(Table2[[#This Row],[Customer_ID]],Table1[#All],3,0)</f>
        <v>South</v>
      </c>
      <c r="O17" s="2" t="str">
        <f>VLOOKUP(Table2[[#This Row],[Customer_ID]],Table1[#All],4,0)</f>
        <v>Consumer</v>
      </c>
      <c r="P17" s="25" t="str">
        <f>VLOOKUP(Table2[[#This Row],[Customer_ID]],Table1[],2,0)</f>
        <v>Ananya Sharma</v>
      </c>
      <c r="Q17" s="26">
        <v>30</v>
      </c>
      <c r="R17" s="27">
        <f t="shared" si="0"/>
        <v>922.7</v>
      </c>
    </row>
    <row r="18" spans="1:18" ht="15" hidden="1" thickBot="1" x14ac:dyDescent="0.4">
      <c r="A18" s="4" t="s">
        <v>43</v>
      </c>
      <c r="B18" s="1" t="s">
        <v>44</v>
      </c>
      <c r="C18" s="1" t="s">
        <v>14</v>
      </c>
      <c r="D18" s="5" t="s">
        <v>11</v>
      </c>
      <c r="F18" s="12" t="s">
        <v>87</v>
      </c>
      <c r="G18" s="3">
        <v>46084</v>
      </c>
      <c r="H18" s="2" t="s">
        <v>37</v>
      </c>
      <c r="I18" s="2" t="s">
        <v>71</v>
      </c>
      <c r="J18" s="2">
        <v>410</v>
      </c>
      <c r="K18" s="2">
        <v>2</v>
      </c>
      <c r="L18" s="2">
        <v>41</v>
      </c>
      <c r="M18" s="13">
        <v>0</v>
      </c>
      <c r="N18" s="2" t="str">
        <f>VLOOKUP(Table2[[#This Row],[Customer_ID]],Table1[#All],3,0)</f>
        <v>West</v>
      </c>
      <c r="O18" s="2" t="str">
        <f>VLOOKUP(Table2[[#This Row],[Customer_ID]],Table1[#All],4,0)</f>
        <v>Consumer</v>
      </c>
      <c r="P18" s="25" t="str">
        <f>VLOOKUP(Table2[[#This Row],[Customer_ID]],Table1[],2,0)</f>
        <v>Sneha Kulkarni</v>
      </c>
      <c r="Q18" s="26">
        <v>10</v>
      </c>
      <c r="R18" s="27">
        <f t="shared" si="0"/>
        <v>905.81632653061229</v>
      </c>
    </row>
    <row r="19" spans="1:18" ht="15" thickBot="1" x14ac:dyDescent="0.4">
      <c r="A19" s="4" t="s">
        <v>45</v>
      </c>
      <c r="B19" s="1" t="s">
        <v>46</v>
      </c>
      <c r="C19" s="1" t="s">
        <v>20</v>
      </c>
      <c r="D19" s="5" t="s">
        <v>7</v>
      </c>
      <c r="F19" s="12" t="s">
        <v>88</v>
      </c>
      <c r="G19" s="3">
        <v>46087</v>
      </c>
      <c r="H19" s="2" t="s">
        <v>39</v>
      </c>
      <c r="I19" s="2" t="s">
        <v>73</v>
      </c>
      <c r="J19" s="2">
        <v>25</v>
      </c>
      <c r="K19" s="2">
        <v>1</v>
      </c>
      <c r="L19" s="2">
        <v>10</v>
      </c>
      <c r="M19" s="13">
        <v>0</v>
      </c>
      <c r="N19" s="2" t="str">
        <f>VLOOKUP(Table2[[#This Row],[Customer_ID]],Table1[#All],3,0)</f>
        <v>North</v>
      </c>
      <c r="O19" s="2" t="str">
        <f>VLOOKUP(Table2[[#This Row],[Customer_ID]],Table1[#All],4,0)</f>
        <v>Corporate</v>
      </c>
      <c r="P19" s="25" t="str">
        <f>VLOOKUP(Table2[[#This Row],[Customer_ID]],Table1[],2,0)</f>
        <v>Vivaan Shah</v>
      </c>
      <c r="Q19" s="26">
        <v>40</v>
      </c>
      <c r="R19" s="27">
        <f t="shared" si="0"/>
        <v>916.14583333333337</v>
      </c>
    </row>
    <row r="20" spans="1:18" ht="15" hidden="1" thickBot="1" x14ac:dyDescent="0.4">
      <c r="A20" s="4" t="s">
        <v>47</v>
      </c>
      <c r="B20" s="1" t="s">
        <v>48</v>
      </c>
      <c r="C20" s="1" t="s">
        <v>6</v>
      </c>
      <c r="D20" s="5" t="s">
        <v>11</v>
      </c>
      <c r="F20" s="12" t="s">
        <v>89</v>
      </c>
      <c r="G20" s="3">
        <v>46091</v>
      </c>
      <c r="H20" s="2" t="s">
        <v>41</v>
      </c>
      <c r="I20" s="2" t="s">
        <v>69</v>
      </c>
      <c r="J20" s="2">
        <v>2400</v>
      </c>
      <c r="K20" s="2">
        <v>5</v>
      </c>
      <c r="L20" s="2">
        <v>720</v>
      </c>
      <c r="M20" s="13">
        <v>0</v>
      </c>
      <c r="N20" s="2" t="str">
        <f>VLOOKUP(Table2[[#This Row],[Customer_ID]],Table1[#All],3,0)</f>
        <v>South</v>
      </c>
      <c r="O20" s="2" t="str">
        <f>VLOOKUP(Table2[[#This Row],[Customer_ID]],Table1[#All],4,0)</f>
        <v>Home Office</v>
      </c>
      <c r="P20" s="25" t="str">
        <f>VLOOKUP(Table2[[#This Row],[Customer_ID]],Table1[],2,0)</f>
        <v>Prisha Rao</v>
      </c>
      <c r="Q20" s="26">
        <v>30</v>
      </c>
      <c r="R20" s="27">
        <f t="shared" si="0"/>
        <v>935.10638297872345</v>
      </c>
    </row>
    <row r="21" spans="1:18" ht="15" hidden="1" thickBot="1" x14ac:dyDescent="0.4">
      <c r="A21" s="4" t="s">
        <v>49</v>
      </c>
      <c r="B21" s="1" t="s">
        <v>50</v>
      </c>
      <c r="C21" s="1" t="s">
        <v>20</v>
      </c>
      <c r="D21" s="5" t="s">
        <v>15</v>
      </c>
      <c r="F21" s="12" t="s">
        <v>90</v>
      </c>
      <c r="G21" s="3">
        <v>46093</v>
      </c>
      <c r="H21" s="2" t="s">
        <v>43</v>
      </c>
      <c r="I21" s="2" t="s">
        <v>71</v>
      </c>
      <c r="J21" s="2">
        <v>980</v>
      </c>
      <c r="K21" s="2">
        <v>4</v>
      </c>
      <c r="L21" s="2">
        <v>-147</v>
      </c>
      <c r="M21" s="13">
        <v>0.3</v>
      </c>
      <c r="N21" s="2" t="str">
        <f>VLOOKUP(Table2[[#This Row],[Customer_ID]],Table1[#All],3,0)</f>
        <v>East</v>
      </c>
      <c r="O21" s="2" t="str">
        <f>VLOOKUP(Table2[[#This Row],[Customer_ID]],Table1[#All],4,0)</f>
        <v>Consumer</v>
      </c>
      <c r="P21" s="25" t="str">
        <f>VLOOKUP(Table2[[#This Row],[Customer_ID]],Table1[],2,0)</f>
        <v>Ayan Mukherjee</v>
      </c>
      <c r="Q21" s="26">
        <v>-15</v>
      </c>
      <c r="R21" s="27">
        <f t="shared" si="0"/>
        <v>903.26086956521738</v>
      </c>
    </row>
    <row r="22" spans="1:18" ht="15" hidden="1" thickBot="1" x14ac:dyDescent="0.4">
      <c r="A22" s="4" t="s">
        <v>51</v>
      </c>
      <c r="B22" s="1" t="s">
        <v>52</v>
      </c>
      <c r="C22" s="1" t="s">
        <v>14</v>
      </c>
      <c r="D22" s="5" t="s">
        <v>11</v>
      </c>
      <c r="F22" s="12" t="s">
        <v>91</v>
      </c>
      <c r="G22" s="3">
        <v>46096</v>
      </c>
      <c r="H22" s="2" t="s">
        <v>12</v>
      </c>
      <c r="I22" s="2" t="s">
        <v>69</v>
      </c>
      <c r="J22" s="2">
        <v>650</v>
      </c>
      <c r="K22" s="2">
        <v>2</v>
      </c>
      <c r="L22" s="2">
        <v>195</v>
      </c>
      <c r="M22" s="13">
        <v>0</v>
      </c>
      <c r="N22" s="2" t="str">
        <f>VLOOKUP(Table2[[#This Row],[Customer_ID]],Table1[#All],3,0)</f>
        <v>East</v>
      </c>
      <c r="O22" s="2" t="str">
        <f>VLOOKUP(Table2[[#This Row],[Customer_ID]],Table1[#All],4,0)</f>
        <v>Home Office</v>
      </c>
      <c r="P22" s="25" t="str">
        <f>VLOOKUP(Table2[[#This Row],[Customer_ID]],Table1[],2,0)</f>
        <v>Rohan Das</v>
      </c>
      <c r="Q22" s="26">
        <v>30</v>
      </c>
      <c r="R22" s="27">
        <f t="shared" si="0"/>
        <v>901.55555555555554</v>
      </c>
    </row>
    <row r="23" spans="1:18" ht="15" hidden="1" thickBot="1" x14ac:dyDescent="0.4">
      <c r="A23" s="4" t="s">
        <v>53</v>
      </c>
      <c r="B23" s="1" t="s">
        <v>54</v>
      </c>
      <c r="C23" s="1" t="s">
        <v>14</v>
      </c>
      <c r="D23" s="5" t="s">
        <v>7</v>
      </c>
      <c r="F23" s="12" t="s">
        <v>92</v>
      </c>
      <c r="G23" s="3">
        <v>46100</v>
      </c>
      <c r="H23" s="2" t="s">
        <v>45</v>
      </c>
      <c r="I23" s="2" t="s">
        <v>73</v>
      </c>
      <c r="J23" s="2">
        <v>150</v>
      </c>
      <c r="K23" s="2">
        <v>5</v>
      </c>
      <c r="L23" s="2">
        <v>60</v>
      </c>
      <c r="M23" s="13">
        <v>0</v>
      </c>
      <c r="N23" s="2" t="str">
        <f>VLOOKUP(Table2[[#This Row],[Customer_ID]],Table1[#All],3,0)</f>
        <v>West</v>
      </c>
      <c r="O23" s="2" t="str">
        <f>VLOOKUP(Table2[[#This Row],[Customer_ID]],Table1[#All],4,0)</f>
        <v>Corporate</v>
      </c>
      <c r="P23" s="25" t="str">
        <f>VLOOKUP(Table2[[#This Row],[Customer_ID]],Table1[],2,0)</f>
        <v>Tanvi Desai</v>
      </c>
      <c r="Q23" s="26">
        <v>40</v>
      </c>
      <c r="R23" s="27">
        <f t="shared" si="0"/>
        <v>907.27272727272725</v>
      </c>
    </row>
    <row r="24" spans="1:18" ht="15" thickBot="1" x14ac:dyDescent="0.4">
      <c r="A24" s="4" t="s">
        <v>55</v>
      </c>
      <c r="B24" s="1" t="s">
        <v>56</v>
      </c>
      <c r="C24" s="1" t="s">
        <v>10</v>
      </c>
      <c r="D24" s="5" t="s">
        <v>7</v>
      </c>
      <c r="F24" s="12" t="s">
        <v>93</v>
      </c>
      <c r="G24" s="3">
        <v>46103</v>
      </c>
      <c r="H24" s="2" t="s">
        <v>47</v>
      </c>
      <c r="I24" s="2" t="s">
        <v>71</v>
      </c>
      <c r="J24" s="2">
        <v>530</v>
      </c>
      <c r="K24" s="2">
        <v>3</v>
      </c>
      <c r="L24" s="2">
        <v>53</v>
      </c>
      <c r="M24" s="13">
        <v>0</v>
      </c>
      <c r="N24" s="2" t="str">
        <f>VLOOKUP(Table2[[#This Row],[Customer_ID]],Table1[#All],3,0)</f>
        <v>North</v>
      </c>
      <c r="O24" s="2" t="str">
        <f>VLOOKUP(Table2[[#This Row],[Customer_ID]],Table1[#All],4,0)</f>
        <v>Consumer</v>
      </c>
      <c r="P24" s="25" t="str">
        <f>VLOOKUP(Table2[[#This Row],[Customer_ID]],Table1[],2,0)</f>
        <v>Devendra Singh</v>
      </c>
      <c r="Q24" s="26">
        <v>10</v>
      </c>
      <c r="R24" s="27">
        <f t="shared" si="0"/>
        <v>924.88372093023258</v>
      </c>
    </row>
    <row r="25" spans="1:18" ht="15" hidden="1" thickBot="1" x14ac:dyDescent="0.4">
      <c r="A25" s="4" t="s">
        <v>57</v>
      </c>
      <c r="B25" s="1" t="s">
        <v>58</v>
      </c>
      <c r="C25" s="1" t="s">
        <v>20</v>
      </c>
      <c r="D25" s="5" t="s">
        <v>11</v>
      </c>
      <c r="F25" s="12" t="s">
        <v>94</v>
      </c>
      <c r="G25" s="3">
        <v>46107</v>
      </c>
      <c r="H25" s="2" t="s">
        <v>49</v>
      </c>
      <c r="I25" s="2" t="s">
        <v>69</v>
      </c>
      <c r="J25" s="2">
        <v>1350</v>
      </c>
      <c r="K25" s="2">
        <v>3</v>
      </c>
      <c r="L25" s="2">
        <v>405</v>
      </c>
      <c r="M25" s="13">
        <v>0</v>
      </c>
      <c r="N25" s="2" t="str">
        <f>VLOOKUP(Table2[[#This Row],[Customer_ID]],Table1[#All],3,0)</f>
        <v>West</v>
      </c>
      <c r="O25" s="2" t="str">
        <f>VLOOKUP(Table2[[#This Row],[Customer_ID]],Table1[#All],4,0)</f>
        <v>Home Office</v>
      </c>
      <c r="P25" s="25" t="str">
        <f>VLOOKUP(Table2[[#This Row],[Customer_ID]],Table1[],2,0)</f>
        <v>Isha Patel</v>
      </c>
      <c r="Q25" s="26">
        <v>30</v>
      </c>
      <c r="R25" s="27">
        <f t="shared" si="0"/>
        <v>934.28571428571433</v>
      </c>
    </row>
    <row r="26" spans="1:18" ht="15" hidden="1" thickBot="1" x14ac:dyDescent="0.4">
      <c r="A26" s="9" t="s">
        <v>59</v>
      </c>
      <c r="B26" s="10" t="s">
        <v>60</v>
      </c>
      <c r="C26" s="10" t="s">
        <v>6</v>
      </c>
      <c r="D26" s="11" t="s">
        <v>15</v>
      </c>
      <c r="F26" s="12" t="s">
        <v>95</v>
      </c>
      <c r="G26" s="3">
        <v>46110</v>
      </c>
      <c r="H26" s="2" t="s">
        <v>23</v>
      </c>
      <c r="I26" s="2" t="s">
        <v>73</v>
      </c>
      <c r="J26" s="2">
        <v>65</v>
      </c>
      <c r="K26" s="2">
        <v>2</v>
      </c>
      <c r="L26" s="2">
        <v>26</v>
      </c>
      <c r="M26" s="13">
        <v>0</v>
      </c>
      <c r="N26" s="2" t="str">
        <f>VLOOKUP(Table2[[#This Row],[Customer_ID]],Table1[#All],3,0)</f>
        <v>South</v>
      </c>
      <c r="O26" s="2" t="str">
        <f>VLOOKUP(Table2[[#This Row],[Customer_ID]],Table1[#All],4,0)</f>
        <v>Corporate</v>
      </c>
      <c r="P26" s="25" t="str">
        <f>VLOOKUP(Table2[[#This Row],[Customer_ID]],Table1[],2,0)</f>
        <v>Meera Nair</v>
      </c>
      <c r="Q26" s="26">
        <v>40</v>
      </c>
      <c r="R26" s="27">
        <f t="shared" si="0"/>
        <v>924.14634146341461</v>
      </c>
    </row>
    <row r="27" spans="1:18" ht="15" hidden="1" thickBot="1" x14ac:dyDescent="0.4">
      <c r="F27" s="12" t="s">
        <v>96</v>
      </c>
      <c r="G27" s="3">
        <v>46114</v>
      </c>
      <c r="H27" s="2" t="s">
        <v>51</v>
      </c>
      <c r="I27" s="2" t="s">
        <v>71</v>
      </c>
      <c r="J27" s="2">
        <v>620</v>
      </c>
      <c r="K27" s="2">
        <v>3</v>
      </c>
      <c r="L27" s="2">
        <v>-62</v>
      </c>
      <c r="M27" s="13">
        <v>0.2</v>
      </c>
      <c r="N27" s="2" t="str">
        <f>VLOOKUP(Table2[[#This Row],[Customer_ID]],Table1[#All],3,0)</f>
        <v>East</v>
      </c>
      <c r="O27" s="2" t="str">
        <f>VLOOKUP(Table2[[#This Row],[Customer_ID]],Table1[#All],4,0)</f>
        <v>Consumer</v>
      </c>
      <c r="P27" s="25" t="str">
        <f>VLOOKUP(Table2[[#This Row],[Customer_ID]],Table1[],2,0)</f>
        <v>Shreya Ghoshal</v>
      </c>
      <c r="Q27" s="26">
        <v>-10</v>
      </c>
      <c r="R27" s="27">
        <f t="shared" si="0"/>
        <v>945.625</v>
      </c>
    </row>
    <row r="28" spans="1:18" ht="15" hidden="1" thickBot="1" x14ac:dyDescent="0.4">
      <c r="F28" s="12" t="s">
        <v>97</v>
      </c>
      <c r="G28" s="3">
        <v>46117</v>
      </c>
      <c r="H28" s="2" t="s">
        <v>53</v>
      </c>
      <c r="I28" s="2" t="s">
        <v>69</v>
      </c>
      <c r="J28" s="2">
        <v>3100</v>
      </c>
      <c r="K28" s="2">
        <v>6</v>
      </c>
      <c r="L28" s="2">
        <v>930</v>
      </c>
      <c r="M28" s="13">
        <v>0</v>
      </c>
      <c r="N28" s="2" t="str">
        <f>VLOOKUP(Table2[[#This Row],[Customer_ID]],Table1[#All],3,0)</f>
        <v>East</v>
      </c>
      <c r="O28" s="2" t="str">
        <f>VLOOKUP(Table2[[#This Row],[Customer_ID]],Table1[#All],4,0)</f>
        <v>Corporate</v>
      </c>
      <c r="P28" s="25" t="str">
        <f>VLOOKUP(Table2[[#This Row],[Customer_ID]],Table1[],2,0)</f>
        <v>Vikram Chatterjee</v>
      </c>
      <c r="Q28" s="26">
        <v>30</v>
      </c>
      <c r="R28" s="27">
        <f t="shared" si="0"/>
        <v>953.97435897435901</v>
      </c>
    </row>
    <row r="29" spans="1:18" ht="15" hidden="1" thickBot="1" x14ac:dyDescent="0.4">
      <c r="F29" s="12" t="s">
        <v>98</v>
      </c>
      <c r="G29" s="3">
        <v>46121</v>
      </c>
      <c r="H29" s="2" t="s">
        <v>55</v>
      </c>
      <c r="I29" s="2" t="s">
        <v>73</v>
      </c>
      <c r="J29" s="2">
        <v>180</v>
      </c>
      <c r="K29" s="2">
        <v>8</v>
      </c>
      <c r="L29" s="2">
        <v>72</v>
      </c>
      <c r="M29" s="13">
        <v>0</v>
      </c>
      <c r="N29" s="2" t="str">
        <f>VLOOKUP(Table2[[#This Row],[Customer_ID]],Table1[#All],3,0)</f>
        <v>South</v>
      </c>
      <c r="O29" s="2" t="str">
        <f>VLOOKUP(Table2[[#This Row],[Customer_ID]],Table1[#All],4,0)</f>
        <v>Corporate</v>
      </c>
      <c r="P29" s="25" t="str">
        <f>VLOOKUP(Table2[[#This Row],[Customer_ID]],Table1[],2,0)</f>
        <v>Rahul Dravid</v>
      </c>
      <c r="Q29" s="26">
        <v>40</v>
      </c>
      <c r="R29" s="27">
        <f t="shared" si="0"/>
        <v>897.5</v>
      </c>
    </row>
    <row r="30" spans="1:18" ht="15" hidden="1" thickBot="1" x14ac:dyDescent="0.4">
      <c r="F30" s="12" t="s">
        <v>99</v>
      </c>
      <c r="G30" s="3">
        <v>46124</v>
      </c>
      <c r="H30" s="2" t="s">
        <v>57</v>
      </c>
      <c r="I30" s="2" t="s">
        <v>71</v>
      </c>
      <c r="J30" s="2">
        <v>850</v>
      </c>
      <c r="K30" s="2">
        <v>4</v>
      </c>
      <c r="L30" s="2">
        <v>85</v>
      </c>
      <c r="M30" s="13">
        <v>0.1</v>
      </c>
      <c r="N30" s="2" t="str">
        <f>VLOOKUP(Table2[[#This Row],[Customer_ID]],Table1[#All],3,0)</f>
        <v>West</v>
      </c>
      <c r="O30" s="2" t="str">
        <f>VLOOKUP(Table2[[#This Row],[Customer_ID]],Table1[#All],4,0)</f>
        <v>Consumer</v>
      </c>
      <c r="P30" s="25" t="str">
        <f>VLOOKUP(Table2[[#This Row],[Customer_ID]],Table1[],2,0)</f>
        <v>Pooja Hegde</v>
      </c>
      <c r="Q30" s="26">
        <v>10</v>
      </c>
      <c r="R30" s="27">
        <f t="shared" si="0"/>
        <v>916.89189189189187</v>
      </c>
    </row>
    <row r="31" spans="1:18" ht="15" thickBot="1" x14ac:dyDescent="0.4">
      <c r="F31" s="12" t="s">
        <v>100</v>
      </c>
      <c r="G31" s="3">
        <v>46127</v>
      </c>
      <c r="H31" s="2" t="s">
        <v>59</v>
      </c>
      <c r="I31" s="2" t="s">
        <v>69</v>
      </c>
      <c r="J31" s="2">
        <v>950</v>
      </c>
      <c r="K31" s="2">
        <v>2</v>
      </c>
      <c r="L31" s="2">
        <v>285</v>
      </c>
      <c r="M31" s="13">
        <v>0</v>
      </c>
      <c r="N31" s="2" t="str">
        <f>VLOOKUP(Table2[[#This Row],[Customer_ID]],Table1[#All],3,0)</f>
        <v>North</v>
      </c>
      <c r="O31" s="2" t="str">
        <f>VLOOKUP(Table2[[#This Row],[Customer_ID]],Table1[#All],4,0)</f>
        <v>Home Office</v>
      </c>
      <c r="P31" s="25" t="str">
        <f>VLOOKUP(Table2[[#This Row],[Customer_ID]],Table1[],2,0)</f>
        <v>Amit Shah</v>
      </c>
      <c r="Q31" s="26">
        <v>30</v>
      </c>
      <c r="R31" s="27">
        <f t="shared" si="0"/>
        <v>918.75</v>
      </c>
    </row>
    <row r="32" spans="1:18" ht="15" hidden="1" thickBot="1" x14ac:dyDescent="0.4">
      <c r="F32" s="12" t="s">
        <v>101</v>
      </c>
      <c r="G32" s="3">
        <v>46130</v>
      </c>
      <c r="H32" s="2" t="s">
        <v>27</v>
      </c>
      <c r="I32" s="2" t="s">
        <v>73</v>
      </c>
      <c r="J32" s="2">
        <v>40</v>
      </c>
      <c r="K32" s="2">
        <v>2</v>
      </c>
      <c r="L32" s="2">
        <v>16</v>
      </c>
      <c r="M32" s="13">
        <v>0</v>
      </c>
      <c r="N32" s="2" t="str">
        <f>VLOOKUP(Table2[[#This Row],[Customer_ID]],Table1[#All],3,0)</f>
        <v>South</v>
      </c>
      <c r="O32" s="2" t="str">
        <f>VLOOKUP(Table2[[#This Row],[Customer_ID]],Table1[#All],4,0)</f>
        <v>Consumer</v>
      </c>
      <c r="P32" s="25" t="str">
        <f>VLOOKUP(Table2[[#This Row],[Customer_ID]],Table1[],2,0)</f>
        <v>Sai Reddy</v>
      </c>
      <c r="Q32" s="26">
        <v>40</v>
      </c>
      <c r="R32" s="27">
        <f t="shared" si="0"/>
        <v>917.85714285714289</v>
      </c>
    </row>
    <row r="33" spans="6:18" ht="15" hidden="1" thickBot="1" x14ac:dyDescent="0.4">
      <c r="F33" s="12" t="s">
        <v>102</v>
      </c>
      <c r="G33" s="3">
        <v>46132</v>
      </c>
      <c r="H33" s="2" t="s">
        <v>35</v>
      </c>
      <c r="I33" s="2" t="s">
        <v>71</v>
      </c>
      <c r="J33" s="2">
        <v>1100</v>
      </c>
      <c r="K33" s="2">
        <v>5</v>
      </c>
      <c r="L33" s="2">
        <v>110</v>
      </c>
      <c r="M33" s="13">
        <v>0</v>
      </c>
      <c r="N33" s="2" t="str">
        <f>VLOOKUP(Table2[[#This Row],[Customer_ID]],Table1[#All],3,0)</f>
        <v>West</v>
      </c>
      <c r="O33" s="2" t="str">
        <f>VLOOKUP(Table2[[#This Row],[Customer_ID]],Table1[#All],4,0)</f>
        <v>Corporate</v>
      </c>
      <c r="P33" s="25" t="str">
        <f>VLOOKUP(Table2[[#This Row],[Customer_ID]],Table1[],2,0)</f>
        <v>Reyansh Kapoor</v>
      </c>
      <c r="Q33" s="26">
        <v>10</v>
      </c>
      <c r="R33" s="27">
        <f t="shared" si="0"/>
        <v>943.67647058823525</v>
      </c>
    </row>
    <row r="34" spans="6:18" ht="15" thickBot="1" x14ac:dyDescent="0.4">
      <c r="F34" s="12" t="s">
        <v>103</v>
      </c>
      <c r="G34" s="3">
        <v>46135</v>
      </c>
      <c r="H34" s="2" t="s">
        <v>21</v>
      </c>
      <c r="I34" s="2" t="s">
        <v>69</v>
      </c>
      <c r="J34" s="2">
        <v>450</v>
      </c>
      <c r="K34" s="2">
        <v>1</v>
      </c>
      <c r="L34" s="2">
        <v>90</v>
      </c>
      <c r="M34" s="13">
        <v>0.1</v>
      </c>
      <c r="N34" s="2" t="str">
        <f>VLOOKUP(Table2[[#This Row],[Customer_ID]],Table1[#All],3,0)</f>
        <v>North</v>
      </c>
      <c r="O34" s="2" t="str">
        <f>VLOOKUP(Table2[[#This Row],[Customer_ID]],Table1[#All],4,0)</f>
        <v>Consumer</v>
      </c>
      <c r="P34" s="25" t="str">
        <f>VLOOKUP(Table2[[#This Row],[Customer_ID]],Table1[],2,0)</f>
        <v>Ishaan Verma</v>
      </c>
      <c r="Q34" s="26">
        <v>20</v>
      </c>
      <c r="R34" s="27">
        <f t="shared" si="0"/>
        <v>938.93939393939399</v>
      </c>
    </row>
    <row r="35" spans="6:18" ht="15" thickBot="1" x14ac:dyDescent="0.4">
      <c r="F35" s="12" t="s">
        <v>104</v>
      </c>
      <c r="G35" s="3">
        <v>46138</v>
      </c>
      <c r="H35" s="2" t="s">
        <v>31</v>
      </c>
      <c r="I35" s="2" t="s">
        <v>73</v>
      </c>
      <c r="J35" s="2">
        <v>310</v>
      </c>
      <c r="K35" s="2">
        <v>10</v>
      </c>
      <c r="L35" s="2">
        <v>124</v>
      </c>
      <c r="M35" s="13">
        <v>0</v>
      </c>
      <c r="N35" s="2" t="str">
        <f>VLOOKUP(Table2[[#This Row],[Customer_ID]],Table1[#All],3,0)</f>
        <v>North</v>
      </c>
      <c r="O35" s="2" t="str">
        <f>VLOOKUP(Table2[[#This Row],[Customer_ID]],Table1[#All],4,0)</f>
        <v>Home Office</v>
      </c>
      <c r="P35" s="25" t="str">
        <f>VLOOKUP(Table2[[#This Row],[Customer_ID]],Table1[],2,0)</f>
        <v>Arjun Gupta</v>
      </c>
      <c r="Q35" s="26">
        <v>40</v>
      </c>
      <c r="R35" s="27">
        <f t="shared" si="0"/>
        <v>954.21875</v>
      </c>
    </row>
    <row r="36" spans="6:18" ht="15" hidden="1" thickBot="1" x14ac:dyDescent="0.4">
      <c r="F36" s="12" t="s">
        <v>105</v>
      </c>
      <c r="G36" s="3">
        <v>46141</v>
      </c>
      <c r="H36" s="2" t="s">
        <v>41</v>
      </c>
      <c r="I36" s="2" t="s">
        <v>71</v>
      </c>
      <c r="J36" s="2">
        <v>720</v>
      </c>
      <c r="K36" s="2">
        <v>3</v>
      </c>
      <c r="L36" s="2">
        <v>-72</v>
      </c>
      <c r="M36" s="13">
        <v>0.2</v>
      </c>
      <c r="N36" s="2" t="str">
        <f>VLOOKUP(Table2[[#This Row],[Customer_ID]],Table1[#All],3,0)</f>
        <v>South</v>
      </c>
      <c r="O36" s="2" t="str">
        <f>VLOOKUP(Table2[[#This Row],[Customer_ID]],Table1[#All],4,0)</f>
        <v>Home Office</v>
      </c>
      <c r="P36" s="25" t="str">
        <f>VLOOKUP(Table2[[#This Row],[Customer_ID]],Table1[],2,0)</f>
        <v>Prisha Rao</v>
      </c>
      <c r="Q36" s="26">
        <v>-10</v>
      </c>
      <c r="R36" s="27">
        <f t="shared" si="0"/>
        <v>975</v>
      </c>
    </row>
    <row r="37" spans="6:18" ht="15" hidden="1" thickBot="1" x14ac:dyDescent="0.4">
      <c r="F37" s="12" t="s">
        <v>106</v>
      </c>
      <c r="G37" s="3">
        <v>46144</v>
      </c>
      <c r="H37" s="2" t="s">
        <v>16</v>
      </c>
      <c r="I37" s="2" t="s">
        <v>69</v>
      </c>
      <c r="J37" s="2">
        <v>4200</v>
      </c>
      <c r="K37" s="2">
        <v>8</v>
      </c>
      <c r="L37" s="2">
        <v>1260</v>
      </c>
      <c r="M37" s="13">
        <v>0</v>
      </c>
      <c r="N37" s="2" t="str">
        <f>VLOOKUP(Table2[[#This Row],[Customer_ID]],Table1[#All],3,0)</f>
        <v>East</v>
      </c>
      <c r="O37" s="2" t="str">
        <f>VLOOKUP(Table2[[#This Row],[Customer_ID]],Table1[#All],4,0)</f>
        <v>Corporate</v>
      </c>
      <c r="P37" s="25" t="str">
        <f>VLOOKUP(Table2[[#This Row],[Customer_ID]],Table1[],2,0)</f>
        <v>Diya Banerjee</v>
      </c>
      <c r="Q37" s="26">
        <v>30</v>
      </c>
      <c r="R37" s="27">
        <f t="shared" si="0"/>
        <v>983.5</v>
      </c>
    </row>
    <row r="38" spans="6:18" ht="15" hidden="1" thickBot="1" x14ac:dyDescent="0.4">
      <c r="F38" s="12" t="s">
        <v>107</v>
      </c>
      <c r="G38" s="3">
        <v>46146</v>
      </c>
      <c r="H38" s="2" t="s">
        <v>25</v>
      </c>
      <c r="I38" s="2" t="s">
        <v>71</v>
      </c>
      <c r="J38" s="2">
        <v>670</v>
      </c>
      <c r="K38" s="2">
        <v>3</v>
      </c>
      <c r="L38" s="2">
        <v>67</v>
      </c>
      <c r="M38" s="13">
        <v>0</v>
      </c>
      <c r="N38" s="2" t="str">
        <f>VLOOKUP(Table2[[#This Row],[Customer_ID]],Table1[#All],3,0)</f>
        <v>West</v>
      </c>
      <c r="O38" s="2" t="str">
        <f>VLOOKUP(Table2[[#This Row],[Customer_ID]],Table1[#All],4,0)</f>
        <v>Home Office</v>
      </c>
      <c r="P38" s="25" t="str">
        <f>VLOOKUP(Table2[[#This Row],[Customer_ID]],Table1[],2,0)</f>
        <v>Aditya Joshi</v>
      </c>
      <c r="Q38" s="26">
        <v>10</v>
      </c>
      <c r="R38" s="27">
        <f t="shared" si="0"/>
        <v>872.58620689655174</v>
      </c>
    </row>
    <row r="39" spans="6:18" ht="15" hidden="1" thickBot="1" x14ac:dyDescent="0.4">
      <c r="F39" s="12" t="s">
        <v>108</v>
      </c>
      <c r="G39" s="3">
        <v>46148</v>
      </c>
      <c r="H39" s="2" t="s">
        <v>53</v>
      </c>
      <c r="I39" s="2" t="s">
        <v>73</v>
      </c>
      <c r="J39" s="2">
        <v>190</v>
      </c>
      <c r="K39" s="2">
        <v>4</v>
      </c>
      <c r="L39" s="2">
        <v>76</v>
      </c>
      <c r="M39" s="13">
        <v>0</v>
      </c>
      <c r="N39" s="2" t="str">
        <f>VLOOKUP(Table2[[#This Row],[Customer_ID]],Table1[#All],3,0)</f>
        <v>East</v>
      </c>
      <c r="O39" s="2" t="str">
        <f>VLOOKUP(Table2[[#This Row],[Customer_ID]],Table1[#All],4,0)</f>
        <v>Corporate</v>
      </c>
      <c r="P39" s="25" t="str">
        <f>VLOOKUP(Table2[[#This Row],[Customer_ID]],Table1[],2,0)</f>
        <v>Vikram Chatterjee</v>
      </c>
      <c r="Q39" s="26">
        <v>40</v>
      </c>
      <c r="R39" s="27">
        <f t="shared" si="0"/>
        <v>879.82142857142856</v>
      </c>
    </row>
    <row r="40" spans="6:18" ht="15" hidden="1" thickBot="1" x14ac:dyDescent="0.4">
      <c r="F40" s="12" t="s">
        <v>109</v>
      </c>
      <c r="G40" s="3">
        <v>46151</v>
      </c>
      <c r="H40" s="2" t="s">
        <v>33</v>
      </c>
      <c r="I40" s="2" t="s">
        <v>69</v>
      </c>
      <c r="J40" s="2">
        <v>1600</v>
      </c>
      <c r="K40" s="2">
        <v>3</v>
      </c>
      <c r="L40" s="2">
        <v>480</v>
      </c>
      <c r="M40" s="13">
        <v>0</v>
      </c>
      <c r="N40" s="2" t="str">
        <f>VLOOKUP(Table2[[#This Row],[Customer_ID]],Table1[#All],3,0)</f>
        <v>South</v>
      </c>
      <c r="O40" s="2" t="str">
        <f>VLOOKUP(Table2[[#This Row],[Customer_ID]],Table1[#All],4,0)</f>
        <v>Consumer</v>
      </c>
      <c r="P40" s="25" t="str">
        <f>VLOOKUP(Table2[[#This Row],[Customer_ID]],Table1[],2,0)</f>
        <v>Kavya Iyer</v>
      </c>
      <c r="Q40" s="26">
        <v>30</v>
      </c>
      <c r="R40" s="27">
        <f t="shared" si="0"/>
        <v>905.37037037037032</v>
      </c>
    </row>
    <row r="41" spans="6:18" ht="15" hidden="1" thickBot="1" x14ac:dyDescent="0.4">
      <c r="F41" s="12" t="s">
        <v>110</v>
      </c>
      <c r="G41" s="3">
        <v>46154</v>
      </c>
      <c r="H41" s="2" t="s">
        <v>18</v>
      </c>
      <c r="I41" s="2" t="s">
        <v>71</v>
      </c>
      <c r="J41" s="2">
        <v>930</v>
      </c>
      <c r="K41" s="2">
        <v>4</v>
      </c>
      <c r="L41" s="2">
        <v>-139.5</v>
      </c>
      <c r="M41" s="13">
        <v>0.25</v>
      </c>
      <c r="N41" s="2" t="str">
        <f>VLOOKUP(Table2[[#This Row],[Customer_ID]],Table1[#All],3,0)</f>
        <v>West</v>
      </c>
      <c r="O41" s="2" t="str">
        <f>VLOOKUP(Table2[[#This Row],[Customer_ID]],Table1[#All],4,0)</f>
        <v>Consumer</v>
      </c>
      <c r="P41" s="25" t="str">
        <f>VLOOKUP(Table2[[#This Row],[Customer_ID]],Table1[],2,0)</f>
        <v>Kabir Malhotra</v>
      </c>
      <c r="Q41" s="26">
        <v>-15</v>
      </c>
      <c r="R41" s="27">
        <f t="shared" si="0"/>
        <v>878.65384615384619</v>
      </c>
    </row>
    <row r="42" spans="6:18" ht="15" hidden="1" thickBot="1" x14ac:dyDescent="0.4">
      <c r="F42" s="12" t="s">
        <v>111</v>
      </c>
      <c r="G42" s="3">
        <v>46156</v>
      </c>
      <c r="H42" s="2" t="s">
        <v>45</v>
      </c>
      <c r="I42" s="2" t="s">
        <v>69</v>
      </c>
      <c r="J42" s="2">
        <v>2200</v>
      </c>
      <c r="K42" s="2">
        <v>4</v>
      </c>
      <c r="L42" s="2">
        <v>660</v>
      </c>
      <c r="M42" s="13">
        <v>0</v>
      </c>
      <c r="N42" s="2" t="str">
        <f>VLOOKUP(Table2[[#This Row],[Customer_ID]],Table1[#All],3,0)</f>
        <v>West</v>
      </c>
      <c r="O42" s="2" t="str">
        <f>VLOOKUP(Table2[[#This Row],[Customer_ID]],Table1[#All],4,0)</f>
        <v>Corporate</v>
      </c>
      <c r="P42" s="25" t="str">
        <f>VLOOKUP(Table2[[#This Row],[Customer_ID]],Table1[],2,0)</f>
        <v>Tanvi Desai</v>
      </c>
      <c r="Q42" s="26">
        <v>30</v>
      </c>
      <c r="R42" s="27">
        <f t="shared" si="0"/>
        <v>876.6</v>
      </c>
    </row>
    <row r="43" spans="6:18" ht="15" hidden="1" thickBot="1" x14ac:dyDescent="0.4">
      <c r="F43" s="12" t="s">
        <v>112</v>
      </c>
      <c r="G43" s="3">
        <v>46159</v>
      </c>
      <c r="H43" s="2" t="s">
        <v>37</v>
      </c>
      <c r="I43" s="2" t="s">
        <v>73</v>
      </c>
      <c r="J43" s="2">
        <v>80</v>
      </c>
      <c r="K43" s="2">
        <v>3</v>
      </c>
      <c r="L43" s="2">
        <v>32</v>
      </c>
      <c r="M43" s="13">
        <v>0</v>
      </c>
      <c r="N43" s="2" t="str">
        <f>VLOOKUP(Table2[[#This Row],[Customer_ID]],Table1[#All],3,0)</f>
        <v>West</v>
      </c>
      <c r="O43" s="2" t="str">
        <f>VLOOKUP(Table2[[#This Row],[Customer_ID]],Table1[#All],4,0)</f>
        <v>Consumer</v>
      </c>
      <c r="P43" s="25" t="str">
        <f>VLOOKUP(Table2[[#This Row],[Customer_ID]],Table1[],2,0)</f>
        <v>Sneha Kulkarni</v>
      </c>
      <c r="Q43" s="26">
        <v>40</v>
      </c>
      <c r="R43" s="27">
        <f t="shared" si="0"/>
        <v>821.45833333333337</v>
      </c>
    </row>
    <row r="44" spans="6:18" ht="15" hidden="1" thickBot="1" x14ac:dyDescent="0.4">
      <c r="F44" s="12" t="s">
        <v>113</v>
      </c>
      <c r="G44" s="3">
        <v>46161</v>
      </c>
      <c r="H44" s="2" t="s">
        <v>55</v>
      </c>
      <c r="I44" s="2" t="s">
        <v>71</v>
      </c>
      <c r="J44" s="2">
        <v>1250</v>
      </c>
      <c r="K44" s="2">
        <v>6</v>
      </c>
      <c r="L44" s="2">
        <v>125</v>
      </c>
      <c r="M44" s="13">
        <v>0</v>
      </c>
      <c r="N44" s="2" t="str">
        <f>VLOOKUP(Table2[[#This Row],[Customer_ID]],Table1[#All],3,0)</f>
        <v>South</v>
      </c>
      <c r="O44" s="2" t="str">
        <f>VLOOKUP(Table2[[#This Row],[Customer_ID]],Table1[#All],4,0)</f>
        <v>Corporate</v>
      </c>
      <c r="P44" s="25" t="str">
        <f>VLOOKUP(Table2[[#This Row],[Customer_ID]],Table1[],2,0)</f>
        <v>Rahul Dravid</v>
      </c>
      <c r="Q44" s="26">
        <v>10</v>
      </c>
      <c r="R44" s="27">
        <f t="shared" si="0"/>
        <v>853.695652173913</v>
      </c>
    </row>
    <row r="45" spans="6:18" ht="15" hidden="1" thickBot="1" x14ac:dyDescent="0.4">
      <c r="F45" s="12" t="s">
        <v>114</v>
      </c>
      <c r="G45" s="3">
        <v>46164</v>
      </c>
      <c r="H45" s="2" t="s">
        <v>49</v>
      </c>
      <c r="I45" s="2" t="s">
        <v>73</v>
      </c>
      <c r="J45" s="2">
        <v>115</v>
      </c>
      <c r="K45" s="2">
        <v>4</v>
      </c>
      <c r="L45" s="2">
        <v>46</v>
      </c>
      <c r="M45" s="13">
        <v>0</v>
      </c>
      <c r="N45" s="2" t="str">
        <f>VLOOKUP(Table2[[#This Row],[Customer_ID]],Table1[#All],3,0)</f>
        <v>West</v>
      </c>
      <c r="O45" s="2" t="str">
        <f>VLOOKUP(Table2[[#This Row],[Customer_ID]],Table1[#All],4,0)</f>
        <v>Home Office</v>
      </c>
      <c r="P45" s="25" t="str">
        <f>VLOOKUP(Table2[[#This Row],[Customer_ID]],Table1[],2,0)</f>
        <v>Isha Patel</v>
      </c>
      <c r="Q45" s="26">
        <v>40</v>
      </c>
      <c r="R45" s="27">
        <f t="shared" si="0"/>
        <v>835.68181818181813</v>
      </c>
    </row>
    <row r="46" spans="6:18" ht="15" hidden="1" thickBot="1" x14ac:dyDescent="0.4">
      <c r="F46" s="12" t="s">
        <v>115</v>
      </c>
      <c r="G46" s="3">
        <v>46167</v>
      </c>
      <c r="H46" s="2" t="s">
        <v>29</v>
      </c>
      <c r="I46" s="2" t="s">
        <v>69</v>
      </c>
      <c r="J46" s="2">
        <v>1300</v>
      </c>
      <c r="K46" s="2">
        <v>2</v>
      </c>
      <c r="L46" s="2">
        <v>390</v>
      </c>
      <c r="M46" s="13">
        <v>0</v>
      </c>
      <c r="N46" s="2" t="str">
        <f>VLOOKUP(Table2[[#This Row],[Customer_ID]],Table1[#All],3,0)</f>
        <v>East</v>
      </c>
      <c r="O46" s="2" t="str">
        <f>VLOOKUP(Table2[[#This Row],[Customer_ID]],Table1[#All],4,0)</f>
        <v>Corporate</v>
      </c>
      <c r="P46" s="25" t="str">
        <f>VLOOKUP(Table2[[#This Row],[Customer_ID]],Table1[],2,0)</f>
        <v>Riya Sen</v>
      </c>
      <c r="Q46" s="26">
        <v>30</v>
      </c>
      <c r="R46" s="27">
        <f t="shared" si="0"/>
        <v>870</v>
      </c>
    </row>
    <row r="47" spans="6:18" ht="15" hidden="1" thickBot="1" x14ac:dyDescent="0.4">
      <c r="F47" s="12" t="s">
        <v>116</v>
      </c>
      <c r="G47" s="3">
        <v>46169</v>
      </c>
      <c r="H47" s="2" t="s">
        <v>51</v>
      </c>
      <c r="I47" s="2" t="s">
        <v>73</v>
      </c>
      <c r="J47" s="2">
        <v>50</v>
      </c>
      <c r="K47" s="2">
        <v>2</v>
      </c>
      <c r="L47" s="2">
        <v>20</v>
      </c>
      <c r="M47" s="13">
        <v>0</v>
      </c>
      <c r="N47" s="2" t="str">
        <f>VLOOKUP(Table2[[#This Row],[Customer_ID]],Table1[#All],3,0)</f>
        <v>East</v>
      </c>
      <c r="O47" s="2" t="str">
        <f>VLOOKUP(Table2[[#This Row],[Customer_ID]],Table1[#All],4,0)</f>
        <v>Consumer</v>
      </c>
      <c r="P47" s="25" t="str">
        <f>VLOOKUP(Table2[[#This Row],[Customer_ID]],Table1[],2,0)</f>
        <v>Shreya Ghoshal</v>
      </c>
      <c r="Q47" s="26">
        <v>40</v>
      </c>
      <c r="R47" s="27">
        <f t="shared" si="0"/>
        <v>848.5</v>
      </c>
    </row>
    <row r="48" spans="6:18" ht="15" thickBot="1" x14ac:dyDescent="0.4">
      <c r="F48" s="12" t="s">
        <v>117</v>
      </c>
      <c r="G48" s="3">
        <v>46171</v>
      </c>
      <c r="H48" s="2" t="s">
        <v>39</v>
      </c>
      <c r="I48" s="2" t="s">
        <v>71</v>
      </c>
      <c r="J48" s="2">
        <v>800</v>
      </c>
      <c r="K48" s="2">
        <v>4</v>
      </c>
      <c r="L48" s="2">
        <v>-40</v>
      </c>
      <c r="M48" s="13">
        <v>0.15</v>
      </c>
      <c r="N48" s="2" t="str">
        <f>VLOOKUP(Table2[[#This Row],[Customer_ID]],Table1[#All],3,0)</f>
        <v>North</v>
      </c>
      <c r="O48" s="2" t="str">
        <f>VLOOKUP(Table2[[#This Row],[Customer_ID]],Table1[#All],4,0)</f>
        <v>Corporate</v>
      </c>
      <c r="P48" s="25" t="str">
        <f>VLOOKUP(Table2[[#This Row],[Customer_ID]],Table1[],2,0)</f>
        <v>Vivaan Shah</v>
      </c>
      <c r="Q48" s="26">
        <v>-5</v>
      </c>
      <c r="R48" s="27">
        <f t="shared" si="0"/>
        <v>890.52631578947364</v>
      </c>
    </row>
    <row r="49" spans="6:18" ht="15" hidden="1" thickBot="1" x14ac:dyDescent="0.4">
      <c r="F49" s="12" t="s">
        <v>118</v>
      </c>
      <c r="G49" s="3">
        <v>46173</v>
      </c>
      <c r="H49" s="2" t="s">
        <v>8</v>
      </c>
      <c r="I49" s="2" t="s">
        <v>73</v>
      </c>
      <c r="J49" s="2">
        <v>75</v>
      </c>
      <c r="K49" s="2">
        <v>3</v>
      </c>
      <c r="L49" s="2">
        <v>30</v>
      </c>
      <c r="M49" s="13">
        <v>0</v>
      </c>
      <c r="N49" s="2" t="str">
        <f>VLOOKUP(Table2[[#This Row],[Customer_ID]],Table1[#All],3,0)</f>
        <v>South</v>
      </c>
      <c r="O49" s="2" t="str">
        <f>VLOOKUP(Table2[[#This Row],[Customer_ID]],Table1[#All],4,0)</f>
        <v>Consumer</v>
      </c>
      <c r="P49" s="25" t="str">
        <f>VLOOKUP(Table2[[#This Row],[Customer_ID]],Table1[],2,0)</f>
        <v>Ananya Sharma</v>
      </c>
      <c r="Q49" s="26">
        <v>40</v>
      </c>
      <c r="R49" s="27">
        <f t="shared" si="0"/>
        <v>895.55555555555554</v>
      </c>
    </row>
    <row r="50" spans="6:18" ht="15" hidden="1" thickBot="1" x14ac:dyDescent="0.4">
      <c r="F50" s="12" t="s">
        <v>119</v>
      </c>
      <c r="G50" s="3">
        <v>46032</v>
      </c>
      <c r="H50" s="2" t="s">
        <v>33</v>
      </c>
      <c r="I50" s="2" t="s">
        <v>73</v>
      </c>
      <c r="J50" s="2">
        <v>35</v>
      </c>
      <c r="K50" s="2">
        <v>1</v>
      </c>
      <c r="L50" s="2">
        <v>14</v>
      </c>
      <c r="M50" s="13">
        <v>0</v>
      </c>
      <c r="N50" s="2" t="str">
        <f>VLOOKUP(Table2[[#This Row],[Customer_ID]],Table1[#All],3,0)</f>
        <v>South</v>
      </c>
      <c r="O50" s="2" t="str">
        <f>VLOOKUP(Table2[[#This Row],[Customer_ID]],Table1[#All],4,0)</f>
        <v>Consumer</v>
      </c>
      <c r="P50" s="25" t="str">
        <f>VLOOKUP(Table2[[#This Row],[Customer_ID]],Table1[],2,0)</f>
        <v>Kavya Iyer</v>
      </c>
      <c r="Q50" s="26">
        <v>40</v>
      </c>
      <c r="R50" s="27">
        <f t="shared" si="0"/>
        <v>943.82352941176475</v>
      </c>
    </row>
    <row r="51" spans="6:18" ht="15" hidden="1" thickBot="1" x14ac:dyDescent="0.4">
      <c r="F51" s="12" t="s">
        <v>120</v>
      </c>
      <c r="G51" s="3">
        <v>46042</v>
      </c>
      <c r="H51" s="2" t="s">
        <v>57</v>
      </c>
      <c r="I51" s="2" t="s">
        <v>69</v>
      </c>
      <c r="J51" s="2">
        <v>1800</v>
      </c>
      <c r="K51" s="2">
        <v>4</v>
      </c>
      <c r="L51" s="2">
        <v>540</v>
      </c>
      <c r="M51" s="13">
        <v>0</v>
      </c>
      <c r="N51" s="2" t="str">
        <f>VLOOKUP(Table2[[#This Row],[Customer_ID]],Table1[#All],3,0)</f>
        <v>West</v>
      </c>
      <c r="O51" s="2" t="str">
        <f>VLOOKUP(Table2[[#This Row],[Customer_ID]],Table1[#All],4,0)</f>
        <v>Consumer</v>
      </c>
      <c r="P51" s="25" t="str">
        <f>VLOOKUP(Table2[[#This Row],[Customer_ID]],Table1[],2,0)</f>
        <v>Pooja Hegde</v>
      </c>
      <c r="Q51" s="26">
        <v>30</v>
      </c>
      <c r="R51" s="27">
        <f t="shared" si="0"/>
        <v>1000.625</v>
      </c>
    </row>
    <row r="52" spans="6:18" ht="15" hidden="1" thickBot="1" x14ac:dyDescent="0.4">
      <c r="F52" s="12" t="s">
        <v>121</v>
      </c>
      <c r="G52" s="3">
        <v>46061</v>
      </c>
      <c r="H52" s="2" t="s">
        <v>43</v>
      </c>
      <c r="I52" s="2" t="s">
        <v>73</v>
      </c>
      <c r="J52" s="2">
        <v>60</v>
      </c>
      <c r="K52" s="2">
        <v>2</v>
      </c>
      <c r="L52" s="2">
        <v>24</v>
      </c>
      <c r="M52" s="13">
        <v>0</v>
      </c>
      <c r="N52" s="2" t="str">
        <f>VLOOKUP(Table2[[#This Row],[Customer_ID]],Table1[#All],3,0)</f>
        <v>East</v>
      </c>
      <c r="O52" s="2" t="str">
        <f>VLOOKUP(Table2[[#This Row],[Customer_ID]],Table1[#All],4,0)</f>
        <v>Consumer</v>
      </c>
      <c r="P52" s="25" t="str">
        <f>VLOOKUP(Table2[[#This Row],[Customer_ID]],Table1[],2,0)</f>
        <v>Ayan Mukherjee</v>
      </c>
      <c r="Q52" s="26">
        <v>40</v>
      </c>
      <c r="R52" s="27">
        <f t="shared" si="0"/>
        <v>947.33333333333337</v>
      </c>
    </row>
    <row r="53" spans="6:18" ht="15" hidden="1" thickBot="1" x14ac:dyDescent="0.4">
      <c r="F53" s="12" t="s">
        <v>122</v>
      </c>
      <c r="G53" s="3">
        <v>46075</v>
      </c>
      <c r="H53" s="2" t="s">
        <v>12</v>
      </c>
      <c r="I53" s="2" t="s">
        <v>71</v>
      </c>
      <c r="J53" s="2">
        <v>510</v>
      </c>
      <c r="K53" s="2">
        <v>2</v>
      </c>
      <c r="L53" s="2">
        <v>51</v>
      </c>
      <c r="M53" s="13">
        <v>0</v>
      </c>
      <c r="N53" s="2" t="str">
        <f>VLOOKUP(Table2[[#This Row],[Customer_ID]],Table1[#All],3,0)</f>
        <v>East</v>
      </c>
      <c r="O53" s="2" t="str">
        <f>VLOOKUP(Table2[[#This Row],[Customer_ID]],Table1[#All],4,0)</f>
        <v>Home Office</v>
      </c>
      <c r="P53" s="25" t="str">
        <f>VLOOKUP(Table2[[#This Row],[Customer_ID]],Table1[],2,0)</f>
        <v>Rohan Das</v>
      </c>
      <c r="Q53" s="26">
        <v>10</v>
      </c>
      <c r="R53" s="27">
        <f t="shared" si="0"/>
        <v>1010.7142857142857</v>
      </c>
    </row>
    <row r="54" spans="6:18" ht="15" thickBot="1" x14ac:dyDescent="0.4">
      <c r="F54" s="12" t="s">
        <v>123</v>
      </c>
      <c r="G54" s="3">
        <v>46089</v>
      </c>
      <c r="H54" s="2" t="s">
        <v>47</v>
      </c>
      <c r="I54" s="2" t="s">
        <v>69</v>
      </c>
      <c r="J54" s="2">
        <v>900</v>
      </c>
      <c r="K54" s="2">
        <v>2</v>
      </c>
      <c r="L54" s="2">
        <v>270</v>
      </c>
      <c r="M54" s="13">
        <v>0</v>
      </c>
      <c r="N54" s="2" t="str">
        <f>VLOOKUP(Table2[[#This Row],[Customer_ID]],Table1[#All],3,0)</f>
        <v>North</v>
      </c>
      <c r="O54" s="2" t="str">
        <f>VLOOKUP(Table2[[#This Row],[Customer_ID]],Table1[#All],4,0)</f>
        <v>Consumer</v>
      </c>
      <c r="P54" s="25" t="str">
        <f>VLOOKUP(Table2[[#This Row],[Customer_ID]],Table1[],2,0)</f>
        <v>Devendra Singh</v>
      </c>
      <c r="Q54" s="26">
        <v>30</v>
      </c>
      <c r="R54" s="27">
        <f t="shared" si="0"/>
        <v>1049.2307692307693</v>
      </c>
    </row>
    <row r="55" spans="6:18" ht="15" hidden="1" thickBot="1" x14ac:dyDescent="0.4">
      <c r="F55" s="12" t="s">
        <v>124</v>
      </c>
      <c r="G55" s="3">
        <v>46105</v>
      </c>
      <c r="H55" s="2" t="s">
        <v>27</v>
      </c>
      <c r="I55" s="2" t="s">
        <v>71</v>
      </c>
      <c r="J55" s="2">
        <v>430</v>
      </c>
      <c r="K55" s="2">
        <v>2</v>
      </c>
      <c r="L55" s="2">
        <v>-21.5</v>
      </c>
      <c r="M55" s="13">
        <v>0.15</v>
      </c>
      <c r="N55" s="2" t="str">
        <f>VLOOKUP(Table2[[#This Row],[Customer_ID]],Table1[#All],3,0)</f>
        <v>South</v>
      </c>
      <c r="O55" s="2" t="str">
        <f>VLOOKUP(Table2[[#This Row],[Customer_ID]],Table1[#All],4,0)</f>
        <v>Consumer</v>
      </c>
      <c r="P55" s="25" t="str">
        <f>VLOOKUP(Table2[[#This Row],[Customer_ID]],Table1[],2,0)</f>
        <v>Sai Reddy</v>
      </c>
      <c r="Q55" s="26">
        <v>-5</v>
      </c>
      <c r="R55" s="27">
        <f t="shared" si="0"/>
        <v>1061.6666666666667</v>
      </c>
    </row>
    <row r="56" spans="6:18" ht="15" hidden="1" thickBot="1" x14ac:dyDescent="0.4">
      <c r="F56" s="12" t="s">
        <v>125</v>
      </c>
      <c r="G56" s="3">
        <v>46118</v>
      </c>
      <c r="H56" s="2" t="s">
        <v>35</v>
      </c>
      <c r="I56" s="2" t="s">
        <v>69</v>
      </c>
      <c r="J56" s="2">
        <v>2500</v>
      </c>
      <c r="K56" s="2">
        <v>5</v>
      </c>
      <c r="L56" s="2">
        <v>750</v>
      </c>
      <c r="M56" s="13">
        <v>0</v>
      </c>
      <c r="N56" s="2" t="str">
        <f>VLOOKUP(Table2[[#This Row],[Customer_ID]],Table1[#All],3,0)</f>
        <v>West</v>
      </c>
      <c r="O56" s="2" t="str">
        <f>VLOOKUP(Table2[[#This Row],[Customer_ID]],Table1[#All],4,0)</f>
        <v>Corporate</v>
      </c>
      <c r="P56" s="25" t="str">
        <f>VLOOKUP(Table2[[#This Row],[Customer_ID]],Table1[],2,0)</f>
        <v>Reyansh Kapoor</v>
      </c>
      <c r="Q56" s="26">
        <v>30</v>
      </c>
      <c r="R56" s="27">
        <f t="shared" si="0"/>
        <v>1119.090909090909</v>
      </c>
    </row>
    <row r="57" spans="6:18" ht="15" thickBot="1" x14ac:dyDescent="0.4">
      <c r="F57" s="12" t="s">
        <v>126</v>
      </c>
      <c r="G57" s="3">
        <v>46129</v>
      </c>
      <c r="H57" s="2" t="s">
        <v>4</v>
      </c>
      <c r="I57" s="2" t="s">
        <v>71</v>
      </c>
      <c r="J57" s="2">
        <v>700</v>
      </c>
      <c r="K57" s="2">
        <v>3</v>
      </c>
      <c r="L57" s="2">
        <v>70</v>
      </c>
      <c r="M57" s="13">
        <v>0</v>
      </c>
      <c r="N57" s="2" t="str">
        <f>VLOOKUP(Table2[[#This Row],[Customer_ID]],Table1[#All],3,0)</f>
        <v>North</v>
      </c>
      <c r="O57" s="2" t="str">
        <f>VLOOKUP(Table2[[#This Row],[Customer_ID]],Table1[#All],4,0)</f>
        <v>Corporate</v>
      </c>
      <c r="P57" s="25" t="str">
        <f>VLOOKUP(Table2[[#This Row],[Customer_ID]],Table1[],2,0)</f>
        <v>Aarav Mehta</v>
      </c>
      <c r="Q57" s="26">
        <v>10</v>
      </c>
      <c r="R57" s="27">
        <f t="shared" si="0"/>
        <v>981</v>
      </c>
    </row>
    <row r="58" spans="6:18" ht="15" thickBot="1" x14ac:dyDescent="0.4">
      <c r="F58" s="12" t="s">
        <v>127</v>
      </c>
      <c r="G58" s="3">
        <v>46147</v>
      </c>
      <c r="H58" s="2" t="s">
        <v>59</v>
      </c>
      <c r="I58" s="2" t="s">
        <v>73</v>
      </c>
      <c r="J58" s="2">
        <v>140</v>
      </c>
      <c r="K58" s="2">
        <v>5</v>
      </c>
      <c r="L58" s="2">
        <v>56</v>
      </c>
      <c r="M58" s="13">
        <v>0</v>
      </c>
      <c r="N58" s="2" t="str">
        <f>VLOOKUP(Table2[[#This Row],[Customer_ID]],Table1[#All],3,0)</f>
        <v>North</v>
      </c>
      <c r="O58" s="2" t="str">
        <f>VLOOKUP(Table2[[#This Row],[Customer_ID]],Table1[#All],4,0)</f>
        <v>Home Office</v>
      </c>
      <c r="P58" s="25" t="str">
        <f>VLOOKUP(Table2[[#This Row],[Customer_ID]],Table1[],2,0)</f>
        <v>Amit Shah</v>
      </c>
      <c r="Q58" s="26">
        <v>40</v>
      </c>
      <c r="R58" s="27">
        <f t="shared" si="0"/>
        <v>1012.2222222222222</v>
      </c>
    </row>
    <row r="59" spans="6:18" ht="15" hidden="1" thickBot="1" x14ac:dyDescent="0.4">
      <c r="F59" s="12" t="s">
        <v>128</v>
      </c>
      <c r="G59" s="3">
        <v>46157</v>
      </c>
      <c r="H59" s="2" t="s">
        <v>23</v>
      </c>
      <c r="I59" s="2" t="s">
        <v>69</v>
      </c>
      <c r="J59" s="2">
        <v>1900</v>
      </c>
      <c r="K59" s="2">
        <v>4</v>
      </c>
      <c r="L59" s="2">
        <v>570</v>
      </c>
      <c r="M59" s="13">
        <v>0</v>
      </c>
      <c r="N59" s="2" t="str">
        <f>VLOOKUP(Table2[[#This Row],[Customer_ID]],Table1[#All],3,0)</f>
        <v>South</v>
      </c>
      <c r="O59" s="2" t="str">
        <f>VLOOKUP(Table2[[#This Row],[Customer_ID]],Table1[#All],4,0)</f>
        <v>Corporate</v>
      </c>
      <c r="P59" s="25" t="str">
        <f>VLOOKUP(Table2[[#This Row],[Customer_ID]],Table1[],2,0)</f>
        <v>Meera Nair</v>
      </c>
      <c r="Q59" s="26">
        <v>30</v>
      </c>
      <c r="R59" s="27">
        <f t="shared" si="0"/>
        <v>1121.25</v>
      </c>
    </row>
    <row r="60" spans="6:18" ht="15" thickBot="1" x14ac:dyDescent="0.4">
      <c r="F60" s="12" t="s">
        <v>129</v>
      </c>
      <c r="G60" s="3">
        <v>46036</v>
      </c>
      <c r="H60" s="2" t="s">
        <v>31</v>
      </c>
      <c r="I60" s="2" t="s">
        <v>71</v>
      </c>
      <c r="J60" s="2">
        <v>640</v>
      </c>
      <c r="K60" s="2">
        <v>3</v>
      </c>
      <c r="L60" s="2">
        <v>64</v>
      </c>
      <c r="M60" s="13">
        <v>0</v>
      </c>
      <c r="N60" s="2" t="str">
        <f>VLOOKUP(Table2[[#This Row],[Customer_ID]],Table1[#All],3,0)</f>
        <v>North</v>
      </c>
      <c r="O60" s="2" t="str">
        <f>VLOOKUP(Table2[[#This Row],[Customer_ID]],Table1[#All],4,0)</f>
        <v>Home Office</v>
      </c>
      <c r="P60" s="25" t="str">
        <f>VLOOKUP(Table2[[#This Row],[Customer_ID]],Table1[],2,0)</f>
        <v>Arjun Gupta</v>
      </c>
      <c r="Q60" s="26">
        <v>10</v>
      </c>
      <c r="R60" s="27">
        <f t="shared" si="0"/>
        <v>1010</v>
      </c>
    </row>
    <row r="61" spans="6:18" ht="15" hidden="1" thickBot="1" x14ac:dyDescent="0.4">
      <c r="F61" s="12" t="s">
        <v>130</v>
      </c>
      <c r="G61" s="3">
        <v>46072</v>
      </c>
      <c r="H61" s="2" t="s">
        <v>51</v>
      </c>
      <c r="I61" s="2" t="s">
        <v>69</v>
      </c>
      <c r="J61" s="2">
        <v>1400</v>
      </c>
      <c r="K61" s="2">
        <v>3</v>
      </c>
      <c r="L61" s="2">
        <v>420</v>
      </c>
      <c r="M61" s="13">
        <v>0</v>
      </c>
      <c r="N61" s="2" t="str">
        <f>VLOOKUP(Table2[[#This Row],[Customer_ID]],Table1[#All],3,0)</f>
        <v>East</v>
      </c>
      <c r="O61" s="2" t="str">
        <f>VLOOKUP(Table2[[#This Row],[Customer_ID]],Table1[#All],4,0)</f>
        <v>Consumer</v>
      </c>
      <c r="P61" s="25" t="str">
        <f>VLOOKUP(Table2[[#This Row],[Customer_ID]],Table1[],2,0)</f>
        <v>Shreya Ghoshal</v>
      </c>
      <c r="Q61" s="26">
        <v>30</v>
      </c>
      <c r="R61" s="27">
        <f t="shared" si="0"/>
        <v>1071.6666666666667</v>
      </c>
    </row>
    <row r="62" spans="6:18" ht="15" thickBot="1" x14ac:dyDescent="0.4">
      <c r="F62" s="12" t="s">
        <v>131</v>
      </c>
      <c r="G62" s="3">
        <v>46092</v>
      </c>
      <c r="H62" s="2" t="s">
        <v>21</v>
      </c>
      <c r="I62" s="2" t="s">
        <v>73</v>
      </c>
      <c r="J62" s="2">
        <v>90</v>
      </c>
      <c r="K62" s="2">
        <v>4</v>
      </c>
      <c r="L62" s="2">
        <v>36</v>
      </c>
      <c r="M62" s="13">
        <v>0</v>
      </c>
      <c r="N62" s="2" t="str">
        <f>VLOOKUP(Table2[[#This Row],[Customer_ID]],Table1[#All],3,0)</f>
        <v>North</v>
      </c>
      <c r="O62" s="2" t="str">
        <f>VLOOKUP(Table2[[#This Row],[Customer_ID]],Table1[#All],4,0)</f>
        <v>Consumer</v>
      </c>
      <c r="P62" s="25" t="str">
        <f>VLOOKUP(Table2[[#This Row],[Customer_ID]],Table1[],2,0)</f>
        <v>Ishaan Verma</v>
      </c>
      <c r="Q62" s="28">
        <v>40</v>
      </c>
      <c r="R62" s="29">
        <f t="shared" si="0"/>
        <v>1006</v>
      </c>
    </row>
    <row r="63" spans="6:18" ht="15" hidden="1" thickBot="1" x14ac:dyDescent="0.4">
      <c r="F63" s="12" t="s">
        <v>132</v>
      </c>
      <c r="G63" s="3">
        <v>46134</v>
      </c>
      <c r="H63" s="2" t="s">
        <v>45</v>
      </c>
      <c r="I63" s="2" t="s">
        <v>71</v>
      </c>
      <c r="J63" s="2">
        <v>880</v>
      </c>
      <c r="K63" s="2">
        <v>4</v>
      </c>
      <c r="L63" s="2">
        <v>-88</v>
      </c>
      <c r="M63" s="13">
        <v>0.2</v>
      </c>
      <c r="N63" s="2" t="str">
        <f>VLOOKUP(Table2[[#This Row],[Customer_ID]],Table1[#All],3,0)</f>
        <v>West</v>
      </c>
      <c r="O63" s="2" t="str">
        <f>VLOOKUP(Table2[[#This Row],[Customer_ID]],Table1[#All],4,0)</f>
        <v>Corporate</v>
      </c>
      <c r="P63" s="25" t="str">
        <f>VLOOKUP(Table2[[#This Row],[Customer_ID]],Table1[],2,0)</f>
        <v>Tanvi Desai</v>
      </c>
    </row>
    <row r="64" spans="6:18" ht="15" hidden="1" thickBot="1" x14ac:dyDescent="0.4">
      <c r="F64" s="12" t="s">
        <v>133</v>
      </c>
      <c r="G64" s="3">
        <v>46153</v>
      </c>
      <c r="H64" s="2" t="s">
        <v>29</v>
      </c>
      <c r="I64" s="2" t="s">
        <v>73</v>
      </c>
      <c r="J64" s="2">
        <v>110</v>
      </c>
      <c r="K64" s="2">
        <v>3</v>
      </c>
      <c r="L64" s="2">
        <v>44</v>
      </c>
      <c r="M64" s="13">
        <v>0</v>
      </c>
      <c r="N64" s="2" t="str">
        <f>VLOOKUP(Table2[[#This Row],[Customer_ID]],Table1[#All],3,0)</f>
        <v>East</v>
      </c>
      <c r="O64" s="2" t="str">
        <f>VLOOKUP(Table2[[#This Row],[Customer_ID]],Table1[#All],4,0)</f>
        <v>Corporate</v>
      </c>
      <c r="P64" s="25" t="str">
        <f>VLOOKUP(Table2[[#This Row],[Customer_ID]],Table1[],2,0)</f>
        <v>Riya Sen</v>
      </c>
    </row>
    <row r="65" spans="6:16" ht="15" hidden="1" thickBot="1" x14ac:dyDescent="0.4">
      <c r="F65" s="12" t="s">
        <v>134</v>
      </c>
      <c r="G65" s="3">
        <v>46162</v>
      </c>
      <c r="H65" s="2" t="s">
        <v>37</v>
      </c>
      <c r="I65" s="2" t="s">
        <v>69</v>
      </c>
      <c r="J65" s="2">
        <v>1650</v>
      </c>
      <c r="K65" s="2">
        <v>3</v>
      </c>
      <c r="L65" s="2">
        <v>495</v>
      </c>
      <c r="M65" s="13">
        <v>0</v>
      </c>
      <c r="N65" s="2" t="str">
        <f>VLOOKUP(Table2[[#This Row],[Customer_ID]],Table1[#All],3,0)</f>
        <v>West</v>
      </c>
      <c r="O65" s="2" t="str">
        <f>VLOOKUP(Table2[[#This Row],[Customer_ID]],Table1[#All],4,0)</f>
        <v>Consumer</v>
      </c>
      <c r="P65" s="25" t="str">
        <f>VLOOKUP(Table2[[#This Row],[Customer_ID]],Table1[],2,0)</f>
        <v>Sneha Kulkarni</v>
      </c>
    </row>
    <row r="66" spans="6:16" hidden="1" x14ac:dyDescent="0.35">
      <c r="F66" s="17" t="s">
        <v>135</v>
      </c>
      <c r="G66" s="18">
        <v>46170</v>
      </c>
      <c r="H66" s="19" t="s">
        <v>55</v>
      </c>
      <c r="I66" s="19" t="s">
        <v>69</v>
      </c>
      <c r="J66" s="19">
        <v>2300</v>
      </c>
      <c r="K66" s="19">
        <v>5</v>
      </c>
      <c r="L66" s="19">
        <v>690</v>
      </c>
      <c r="M66" s="20">
        <v>0</v>
      </c>
      <c r="N66" s="19" t="str">
        <f>VLOOKUP(Table2[[#This Row],[Customer_ID]],Table1[#All],3,0)</f>
        <v>South</v>
      </c>
      <c r="O66" s="19" t="str">
        <f>VLOOKUP(Table2[[#This Row],[Customer_ID]],Table1[#All],4,0)</f>
        <v>Corporate</v>
      </c>
      <c r="P66" s="25" t="str">
        <f>VLOOKUP(Table2[[#This Row],[Customer_ID]],Table1[],2,0)</f>
        <v>Rahul Dravid</v>
      </c>
    </row>
  </sheetData>
  <phoneticPr fontId="5" type="noConversion"/>
  <pageMargins left="0.7" right="0.7" top="0.75" bottom="0.75" header="0.3" footer="0.3"/>
  <pageSetup paperSize="9" orientation="portrait" r:id="rId1"/>
  <ignoredErrors>
    <ignoredError sqref="R2 R7 R8:R62" formulaRange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8D01-7702-4B5C-BEF9-619324E68FDF}">
  <dimension ref="A3:E9"/>
  <sheetViews>
    <sheetView workbookViewId="0">
      <selection activeCell="G14" sqref="G14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9.08984375" bestFit="1" customWidth="1"/>
    <col min="4" max="4" width="11.1796875" bestFit="1" customWidth="1"/>
    <col min="5" max="5" width="10.36328125" bestFit="1" customWidth="1"/>
  </cols>
  <sheetData>
    <row r="3" spans="1:5" x14ac:dyDescent="0.35">
      <c r="A3" s="22" t="s">
        <v>139</v>
      </c>
      <c r="B3" s="22" t="s">
        <v>138</v>
      </c>
    </row>
    <row r="4" spans="1:5" x14ac:dyDescent="0.35">
      <c r="A4" s="22" t="s">
        <v>136</v>
      </c>
      <c r="B4" t="s">
        <v>11</v>
      </c>
      <c r="C4" t="s">
        <v>7</v>
      </c>
      <c r="D4" t="s">
        <v>15</v>
      </c>
      <c r="E4" t="s">
        <v>137</v>
      </c>
    </row>
    <row r="5" spans="1:5" x14ac:dyDescent="0.35">
      <c r="A5" s="23" t="s">
        <v>14</v>
      </c>
      <c r="B5" s="24">
        <v>3110</v>
      </c>
      <c r="C5" s="24">
        <v>11415</v>
      </c>
      <c r="D5" s="24">
        <v>1245</v>
      </c>
      <c r="E5" s="24">
        <v>15770</v>
      </c>
    </row>
    <row r="6" spans="1:5" x14ac:dyDescent="0.35">
      <c r="A6" s="23" t="s">
        <v>6</v>
      </c>
      <c r="B6" s="24">
        <v>2320</v>
      </c>
      <c r="C6" s="24">
        <v>2770</v>
      </c>
      <c r="D6" s="24">
        <v>2840</v>
      </c>
      <c r="E6" s="24">
        <v>7930</v>
      </c>
    </row>
    <row r="7" spans="1:5" x14ac:dyDescent="0.35">
      <c r="A7" s="23" t="s">
        <v>10</v>
      </c>
      <c r="B7" s="24">
        <v>6630</v>
      </c>
      <c r="C7" s="24">
        <v>6585</v>
      </c>
      <c r="D7" s="24">
        <v>3120</v>
      </c>
      <c r="E7" s="24">
        <v>16335</v>
      </c>
    </row>
    <row r="8" spans="1:5" x14ac:dyDescent="0.35">
      <c r="A8" s="23" t="s">
        <v>20</v>
      </c>
      <c r="B8" s="24">
        <v>6320</v>
      </c>
      <c r="C8" s="24">
        <v>6885</v>
      </c>
      <c r="D8" s="24">
        <v>2255</v>
      </c>
      <c r="E8" s="24">
        <v>15460</v>
      </c>
    </row>
    <row r="9" spans="1:5" x14ac:dyDescent="0.35">
      <c r="A9" s="23" t="s">
        <v>137</v>
      </c>
      <c r="B9" s="24">
        <v>18380</v>
      </c>
      <c r="C9" s="24">
        <v>27655</v>
      </c>
      <c r="D9" s="24">
        <v>9460</v>
      </c>
      <c r="E9" s="24">
        <v>55495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9D19-5E1B-4BF5-BCEB-C7728264A7E1}">
  <dimension ref="A3:F8"/>
  <sheetViews>
    <sheetView workbookViewId="0">
      <selection activeCell="A3" sqref="A3"/>
    </sheetView>
  </sheetViews>
  <sheetFormatPr defaultRowHeight="14.5" x14ac:dyDescent="0.35"/>
  <cols>
    <col min="1" max="1" width="13" bestFit="1" customWidth="1"/>
    <col min="2" max="2" width="15.6328125" bestFit="1" customWidth="1"/>
    <col min="3" max="3" width="5.453125" bestFit="1" customWidth="1"/>
    <col min="4" max="5" width="6.81640625" bestFit="1" customWidth="1"/>
    <col min="6" max="6" width="10.36328125" bestFit="1" customWidth="1"/>
  </cols>
  <sheetData>
    <row r="3" spans="1:6" x14ac:dyDescent="0.35">
      <c r="A3" s="22" t="s">
        <v>140</v>
      </c>
      <c r="B3" s="22" t="s">
        <v>138</v>
      </c>
    </row>
    <row r="4" spans="1:6" x14ac:dyDescent="0.35">
      <c r="A4" s="22" t="s">
        <v>136</v>
      </c>
      <c r="B4" t="s">
        <v>14</v>
      </c>
      <c r="C4" t="s">
        <v>6</v>
      </c>
      <c r="D4" t="s">
        <v>10</v>
      </c>
      <c r="E4" t="s">
        <v>20</v>
      </c>
      <c r="F4" t="s">
        <v>137</v>
      </c>
    </row>
    <row r="5" spans="1:6" x14ac:dyDescent="0.35">
      <c r="A5" s="23" t="s">
        <v>71</v>
      </c>
      <c r="B5" s="24">
        <v>-126</v>
      </c>
      <c r="C5" s="24">
        <v>147</v>
      </c>
      <c r="D5" s="24">
        <v>-177.5</v>
      </c>
      <c r="E5" s="24">
        <v>135.5</v>
      </c>
      <c r="F5" s="24">
        <v>-21</v>
      </c>
    </row>
    <row r="6" spans="1:6" x14ac:dyDescent="0.35">
      <c r="A6" s="23" t="s">
        <v>73</v>
      </c>
      <c r="B6" s="24">
        <v>227.5</v>
      </c>
      <c r="C6" s="24">
        <v>244</v>
      </c>
      <c r="D6" s="24">
        <v>158</v>
      </c>
      <c r="E6" s="24">
        <v>208</v>
      </c>
      <c r="F6" s="24">
        <v>837.5</v>
      </c>
    </row>
    <row r="7" spans="1:6" x14ac:dyDescent="0.35">
      <c r="A7" s="23" t="s">
        <v>69</v>
      </c>
      <c r="B7" s="24">
        <v>3825</v>
      </c>
      <c r="C7" s="24">
        <v>1235</v>
      </c>
      <c r="D7" s="24">
        <v>3435</v>
      </c>
      <c r="E7" s="24">
        <v>2850</v>
      </c>
      <c r="F7" s="24">
        <v>11345</v>
      </c>
    </row>
    <row r="8" spans="1:6" x14ac:dyDescent="0.35">
      <c r="A8" s="23" t="s">
        <v>137</v>
      </c>
      <c r="B8" s="24">
        <v>3926.5</v>
      </c>
      <c r="C8" s="24">
        <v>1626</v>
      </c>
      <c r="D8" s="24">
        <v>3415.5</v>
      </c>
      <c r="E8" s="24">
        <v>3193.5</v>
      </c>
      <c r="F8" s="24">
        <v>12161.5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9B4A-86BB-43C2-93D9-0E74C3C1C125}">
  <dimension ref="A3:B9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2" t="s">
        <v>136</v>
      </c>
      <c r="B3" t="s">
        <v>139</v>
      </c>
    </row>
    <row r="4" spans="1:2" x14ac:dyDescent="0.35">
      <c r="A4" s="23" t="s">
        <v>141</v>
      </c>
      <c r="B4" s="24">
        <v>8195</v>
      </c>
    </row>
    <row r="5" spans="1:2" x14ac:dyDescent="0.35">
      <c r="A5" s="23" t="s">
        <v>142</v>
      </c>
      <c r="B5" s="24">
        <v>7360</v>
      </c>
    </row>
    <row r="6" spans="1:2" x14ac:dyDescent="0.35">
      <c r="A6" s="23" t="s">
        <v>143</v>
      </c>
      <c r="B6" s="24">
        <v>7980</v>
      </c>
    </row>
    <row r="7" spans="1:2" x14ac:dyDescent="0.35">
      <c r="A7" s="23" t="s">
        <v>144</v>
      </c>
      <c r="B7" s="24">
        <v>12400</v>
      </c>
    </row>
    <row r="8" spans="1:2" x14ac:dyDescent="0.35">
      <c r="A8" s="23" t="s">
        <v>145</v>
      </c>
      <c r="B8" s="24">
        <v>19560</v>
      </c>
    </row>
    <row r="9" spans="1:2" x14ac:dyDescent="0.35">
      <c r="A9" s="23" t="s">
        <v>137</v>
      </c>
      <c r="B9" s="24">
        <v>55495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23EE-E71C-413C-9846-5F5670825748}">
  <dimension ref="A3:B29"/>
  <sheetViews>
    <sheetView workbookViewId="0">
      <selection activeCell="F18" sqref="F18"/>
    </sheetView>
  </sheetViews>
  <sheetFormatPr defaultRowHeight="14.5" x14ac:dyDescent="0.35"/>
  <cols>
    <col min="1" max="1" width="15.54296875" bestFit="1" customWidth="1"/>
    <col min="2" max="2" width="11.54296875" bestFit="1" customWidth="1"/>
  </cols>
  <sheetData>
    <row r="3" spans="1:2" x14ac:dyDescent="0.35">
      <c r="A3" s="22" t="s">
        <v>136</v>
      </c>
      <c r="B3" t="s">
        <v>139</v>
      </c>
    </row>
    <row r="4" spans="1:2" x14ac:dyDescent="0.35">
      <c r="A4" s="23" t="s">
        <v>17</v>
      </c>
      <c r="B4" s="24">
        <v>6395</v>
      </c>
    </row>
    <row r="5" spans="1:2" x14ac:dyDescent="0.35">
      <c r="A5" s="23" t="s">
        <v>56</v>
      </c>
      <c r="B5" s="24">
        <v>3730</v>
      </c>
    </row>
    <row r="6" spans="1:2" x14ac:dyDescent="0.35">
      <c r="A6" s="23" t="s">
        <v>36</v>
      </c>
      <c r="B6" s="24">
        <v>3655</v>
      </c>
    </row>
    <row r="7" spans="1:2" x14ac:dyDescent="0.35">
      <c r="A7" s="23" t="s">
        <v>54</v>
      </c>
      <c r="B7" s="24">
        <v>3290</v>
      </c>
    </row>
    <row r="8" spans="1:2" x14ac:dyDescent="0.35">
      <c r="A8" s="23" t="s">
        <v>46</v>
      </c>
      <c r="B8" s="24">
        <v>3230</v>
      </c>
    </row>
    <row r="9" spans="1:2" x14ac:dyDescent="0.35">
      <c r="A9" s="23" t="s">
        <v>42</v>
      </c>
      <c r="B9" s="24">
        <v>3120</v>
      </c>
    </row>
    <row r="10" spans="1:2" x14ac:dyDescent="0.35">
      <c r="A10" s="23" t="s">
        <v>24</v>
      </c>
      <c r="B10" s="24">
        <v>2855</v>
      </c>
    </row>
    <row r="11" spans="1:2" x14ac:dyDescent="0.35">
      <c r="A11" s="23" t="s">
        <v>58</v>
      </c>
      <c r="B11" s="24">
        <v>2650</v>
      </c>
    </row>
    <row r="12" spans="1:2" x14ac:dyDescent="0.35">
      <c r="A12" s="23" t="s">
        <v>34</v>
      </c>
      <c r="B12" s="24">
        <v>2385</v>
      </c>
    </row>
    <row r="13" spans="1:2" x14ac:dyDescent="0.35">
      <c r="A13" s="23" t="s">
        <v>9</v>
      </c>
      <c r="B13" s="24">
        <v>2275</v>
      </c>
    </row>
    <row r="14" spans="1:2" x14ac:dyDescent="0.35">
      <c r="A14" s="23" t="s">
        <v>38</v>
      </c>
      <c r="B14" s="24">
        <v>2140</v>
      </c>
    </row>
    <row r="15" spans="1:2" x14ac:dyDescent="0.35">
      <c r="A15" s="23" t="s">
        <v>52</v>
      </c>
      <c r="B15" s="24">
        <v>2070</v>
      </c>
    </row>
    <row r="16" spans="1:2" x14ac:dyDescent="0.35">
      <c r="A16" s="23" t="s">
        <v>28</v>
      </c>
      <c r="B16" s="24">
        <v>1970</v>
      </c>
    </row>
    <row r="17" spans="1:2" x14ac:dyDescent="0.35">
      <c r="A17" s="23" t="s">
        <v>5</v>
      </c>
      <c r="B17" s="24">
        <v>1945</v>
      </c>
    </row>
    <row r="18" spans="1:2" x14ac:dyDescent="0.35">
      <c r="A18" s="23" t="s">
        <v>32</v>
      </c>
      <c r="B18" s="24">
        <v>1750</v>
      </c>
    </row>
    <row r="19" spans="1:2" x14ac:dyDescent="0.35">
      <c r="A19" s="23" t="s">
        <v>30</v>
      </c>
      <c r="B19" s="24">
        <v>1730</v>
      </c>
    </row>
    <row r="20" spans="1:2" x14ac:dyDescent="0.35">
      <c r="A20" s="23" t="s">
        <v>19</v>
      </c>
      <c r="B20" s="24">
        <v>1530</v>
      </c>
    </row>
    <row r="21" spans="1:2" x14ac:dyDescent="0.35">
      <c r="A21" s="23" t="s">
        <v>50</v>
      </c>
      <c r="B21" s="24">
        <v>1465</v>
      </c>
    </row>
    <row r="22" spans="1:2" x14ac:dyDescent="0.35">
      <c r="A22" s="23" t="s">
        <v>48</v>
      </c>
      <c r="B22" s="24">
        <v>1430</v>
      </c>
    </row>
    <row r="23" spans="1:2" x14ac:dyDescent="0.35">
      <c r="A23" s="23" t="s">
        <v>13</v>
      </c>
      <c r="B23" s="24">
        <v>1245</v>
      </c>
    </row>
    <row r="24" spans="1:2" x14ac:dyDescent="0.35">
      <c r="A24" s="23" t="s">
        <v>60</v>
      </c>
      <c r="B24" s="24">
        <v>1090</v>
      </c>
    </row>
    <row r="25" spans="1:2" x14ac:dyDescent="0.35">
      <c r="A25" s="23" t="s">
        <v>44</v>
      </c>
      <c r="B25" s="24">
        <v>1040</v>
      </c>
    </row>
    <row r="26" spans="1:2" x14ac:dyDescent="0.35">
      <c r="A26" s="23" t="s">
        <v>22</v>
      </c>
      <c r="B26" s="24">
        <v>890</v>
      </c>
    </row>
    <row r="27" spans="1:2" x14ac:dyDescent="0.35">
      <c r="A27" s="23" t="s">
        <v>40</v>
      </c>
      <c r="B27" s="24">
        <v>825</v>
      </c>
    </row>
    <row r="28" spans="1:2" x14ac:dyDescent="0.35">
      <c r="A28" s="23" t="s">
        <v>26</v>
      </c>
      <c r="B28" s="24">
        <v>790</v>
      </c>
    </row>
    <row r="29" spans="1:2" x14ac:dyDescent="0.35">
      <c r="A29" s="23" t="s">
        <v>137</v>
      </c>
      <c r="B29" s="24">
        <v>55495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17851FF06EA4B8FF28BBB07B4B130" ma:contentTypeVersion="5" ma:contentTypeDescription="Create a new document." ma:contentTypeScope="" ma:versionID="3af4cbf90b0ff25323520a9643f74db1">
  <xsd:schema xmlns:xsd="http://www.w3.org/2001/XMLSchema" xmlns:xs="http://www.w3.org/2001/XMLSchema" xmlns:p="http://schemas.microsoft.com/office/2006/metadata/properties" xmlns:ns3="9ec31b9a-f088-4c23-9edd-04c39127c186" targetNamespace="http://schemas.microsoft.com/office/2006/metadata/properties" ma:root="true" ma:fieldsID="18fbb17389a6575d16ae935d81efe829" ns3:_="">
    <xsd:import namespace="9ec31b9a-f088-4c23-9edd-04c39127c1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31b9a-f088-4c23-9edd-04c39127c1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c31b9a-f088-4c23-9edd-04c39127c18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21FE3CA-3DFD-4421-9FDB-6D7EF58DA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c31b9a-f088-4c23-9edd-04c39127c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099830-3C7A-4AAD-ACAD-B7E6EA979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9A45E0-08E6-429E-ADAA-4F8D459D8D7A}">
  <ds:schemaRefs>
    <ds:schemaRef ds:uri="http://www.w3.org/XML/1998/namespace"/>
    <ds:schemaRef ds:uri="http://schemas.openxmlformats.org/package/2006/metadata/core-properties"/>
    <ds:schemaRef ds:uri="9ec31b9a-f088-4c23-9edd-04c39127c186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60DA2AC-E062-4B71-AF1C-0FD07ECF5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Sales by Region &amp; Segment</vt:lpstr>
      <vt:lpstr>Profit by Category and Region</vt:lpstr>
      <vt:lpstr>Monthly Sales Trend</vt:lpstr>
      <vt:lpstr>Top 10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 Bose</dc:creator>
  <cp:lastModifiedBy>Priyanka  Bose</cp:lastModifiedBy>
  <dcterms:created xsi:type="dcterms:W3CDTF">2026-06-23T15:22:23Z</dcterms:created>
  <dcterms:modified xsi:type="dcterms:W3CDTF">2026-06-25T07:18:16Z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0x01010043E17851FF06EA4B8FF28BBB07B4B130</vt:lpwstr>
  </property>
</Properties>
</file>